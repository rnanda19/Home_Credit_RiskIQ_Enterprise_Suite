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Early Delinquency Risk" sheetId="3" state="visible" r:id="rId3"/>
    <sheet xmlns:r="http://schemas.openxmlformats.org/officeDocument/2006/relationships" name="P02 Installment Payment Be" sheetId="4" state="visible" r:id="rId4"/>
    <sheet xmlns:r="http://schemas.openxmlformats.org/officeDocument/2006/relationships" name="P03 Revolving-Credit-Card" sheetId="5" state="visible" r:id="rId5"/>
    <sheet xmlns:r="http://schemas.openxmlformats.org/officeDocument/2006/relationships" name="P04 POS-Cash Loan Delinque" sheetId="6" state="visible" r:id="rId6"/>
    <sheet xmlns:r="http://schemas.openxmlformats.org/officeDocument/2006/relationships" name="P05 Early-Warning Interven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Behavioral Coverage" sheetId="9" state="visible" r:id="rId9"/>
    <sheet xmlns:r="http://schemas.openxmlformats.org/officeDocument/2006/relationships" name="Illustrative Benefit" sheetId="10" state="visible" r:id="rId10"/>
    <sheet xmlns:r="http://schemas.openxmlformats.org/officeDocument/2006/relationships" name="ROI Timeline" sheetId="11" state="visible" r:id="rId11"/>
    <sheet xmlns:r="http://schemas.openxmlformats.org/officeDocument/2006/relationships" name="Financial Impact" sheetId="12" state="visible" r:id="rId12"/>
    <sheet xmlns:r="http://schemas.openxmlformats.org/officeDocument/2006/relationships" name="SMART Insigh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Behavioral Data Coverage — Problems 1-4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Rollup'!$B$18:$B$21</f>
            </numRef>
          </cat>
          <val>
            <numRef>
              <f>'Executive Rollup'!$C$18:$C$21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Fraction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P01EarlyDelinquencyR" displayName="TP01EarlyDelinquencyR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InstallmentPaymen" displayName="TP02InstallmentPaymen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RevolvingCreditCa" displayName="TP03RevolvingCreditCa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POSCashLoanDelinq" displayName="TP04POSCashLoanDelinq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EarlyWarningInter" displayName="TP05EarlyWarningInter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G6" headerRowCount="1">
  <autoFilter ref="A1:G6"/>
  <tableColumns count="7">
    <tableColumn id="1" name="notebook_id"/>
    <tableColumn id="2" name="problem"/>
    <tableColumn id="3" name="method"/>
    <tableColumn id="4" name="verdict_kind"/>
    <tableColumn id="5" name="analysis_verdict"/>
    <tableColumn id="6" name="analysis_robust"/>
    <tableColumn id="7" name="headline_metric"/>
  </tableColumns>
  <tableStyleInfo name="TableStyleMedium2" showRowStripes="1"/>
</table>
</file>

<file path=xl/tables/table7.xml><?xml version="1.0" encoding="utf-8"?>
<table xmlns="http://schemas.openxmlformats.org/spreadsheetml/2006/main" id="7" name="TBehavioralCoverage" displayName="TBehavioralCoverage" ref="A1:E5" headerRowCount="1">
  <autoFilter ref="A1:E5"/>
  <tableColumns count="5">
    <tableColumn id="1" name="notebook_id"/>
    <tableColumn id="2" name="problem"/>
    <tableColumn id="3" name="n_scope"/>
    <tableColumn id="4" name="n_app_total"/>
    <tableColumn id="5" name="coverage_fraction"/>
  </tableColumns>
  <tableStyleInfo name="TableStyleMedium2" showRowStripes="1"/>
</table>
</file>

<file path=xl/tables/table8.xml><?xml version="1.0" encoding="utf-8"?>
<table xmlns="http://schemas.openxmlformats.org/spreadsheetml/2006/main" id="8" name="TIllustrativeBenefit" displayName="TIllustrativeBenefit" ref="A1:F6" headerRowCount="1">
  <autoFilter ref="A1:F6"/>
  <tableColumns count="6">
    <tableColumn id="1" name="notebook_id"/>
    <tableColumn id="2" name="problem"/>
    <tableColumn id="3" name="kind"/>
    <tableColumn id="4" name="label"/>
    <tableColumn id="5" name="usd"/>
    <tableColumn id="6" name="portfolio_scale_usd"/>
  </tableColumns>
  <tableStyleInfo name="TableStyleMedium2" showRowStripes="1"/>
</table>
</file>

<file path=xl/tables/table9.xml><?xml version="1.0" encoding="utf-8"?>
<table xmlns="http://schemas.openxmlformats.org/spreadsheetml/2006/main" id="9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2">
      <c r="B2" s="19" t="inlineStr">
        <is>
          <t>MEGA PROJECT 4 — REAL DELINQUENCY PREVENTION ROLLUP</t>
        </is>
      </c>
    </row>
    <row r="4">
      <c r="B4" s="20" t="inlineStr">
        <is>
          <t>Real Applicant Population</t>
        </is>
      </c>
    </row>
    <row r="5">
      <c r="B5" s="21" t="inlineStr">
        <is>
          <t>307,511</t>
        </is>
      </c>
    </row>
    <row r="7">
      <c r="B7" s="20" t="inlineStr">
        <is>
          <t>Widest Real Behavioral Coverage</t>
        </is>
      </c>
    </row>
    <row r="8">
      <c r="B8" s="21" t="inlineStr">
        <is>
          <t>Early Delinquency Risk Scoring (94.84%)</t>
        </is>
      </c>
    </row>
    <row r="10">
      <c r="B10" s="20" t="inlineStr">
        <is>
          <t>Real Cross-Notebook Consistency</t>
        </is>
      </c>
    </row>
    <row r="11">
      <c r="B11" s="21" t="inlineStr">
        <is>
          <t>CONFIRMED</t>
        </is>
      </c>
    </row>
    <row r="13">
      <c r="B13" s="20" t="inlineStr">
        <is>
          <t>Real Problems Complete</t>
        </is>
      </c>
    </row>
    <row r="14">
      <c r="B14" s="21" t="inlineStr">
        <is>
          <t>5 / 5</t>
        </is>
      </c>
    </row>
    <row r="17">
      <c r="B17" t="inlineStr">
        <is>
          <t>Problem</t>
        </is>
      </c>
      <c r="C17" t="inlineStr">
        <is>
          <t>Coverage Fraction</t>
        </is>
      </c>
    </row>
    <row r="18">
      <c r="B18" t="inlineStr">
        <is>
          <t>Early Delinquency Risk Scoring</t>
        </is>
      </c>
      <c r="C18" t="n">
        <v>0.9483985938714388</v>
      </c>
    </row>
    <row r="19">
      <c r="B19" t="inlineStr">
        <is>
          <t>Installment Payment Behavior Detection</t>
        </is>
      </c>
      <c r="C19" t="n">
        <v>0.9483985938714388</v>
      </c>
    </row>
    <row r="20">
      <c r="B20" t="inlineStr">
        <is>
          <t>POS/Cash Loan Delinquency Trajectory</t>
        </is>
      </c>
      <c r="C20" t="n">
        <v>0.9412476301660754</v>
      </c>
    </row>
    <row r="21">
      <c r="B21" t="inlineStr">
        <is>
          <t>Revolving/Credit-Card Distress Early Warning</t>
        </is>
      </c>
      <c r="C21" t="n">
        <v>0.2826077766323806</v>
      </c>
    </row>
    <row r="24">
      <c r="B24" s="22" t="inlineStr">
        <is>
          <t>Scale caveat: figures reflect whatever data each notebook was most recently run against. See the 'Behavioral Coverage' sheet and this notebook's own model card for the full cross-notebook consistency disclosure.</t>
        </is>
      </c>
    </row>
    <row r="25"/>
  </sheetData>
  <mergeCells count="10">
    <mergeCell ref="B13:I13"/>
    <mergeCell ref="B7:I7"/>
    <mergeCell ref="B11:I11"/>
    <mergeCell ref="B2:I2"/>
    <mergeCell ref="B10:I10"/>
    <mergeCell ref="B5:I5"/>
    <mergeCell ref="B14:I14"/>
    <mergeCell ref="B8:I8"/>
    <mergeCell ref="B24:I25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REAL_N_APP_TOTAL</t>
        </is>
      </c>
      <c r="B2" s="2" t="n">
        <v>307511</v>
      </c>
      <c r="C2" t="inlineStr">
        <is>
          <t>Real total applicant population from Notebook 01's own load of application_train.csv, reused as the denominator for every coverage figure above.</t>
        </is>
      </c>
    </row>
    <row r="3">
      <c r="A3" t="inlineStr">
        <is>
          <t>REAL_WIDEST_COVERAGE_FRACTION</t>
        </is>
      </c>
      <c r="B3" s="2" t="n">
        <v>0.948399</v>
      </c>
      <c r="C3" t="inlineStr">
        <is>
          <t>Real coverage fraction of the most broadly-covering problem this run (Early Delinquency Risk Scoring) -- referenced by the Executive Rollup sheet.</t>
        </is>
      </c>
    </row>
    <row r="4">
      <c r="A4" t="inlineStr">
        <is>
          <t>AVG_EXPOSURE_PER_APPLICANT_USD</t>
        </is>
      </c>
      <c r="B4" s="2" t="n">
        <v>599026</v>
      </c>
      <c r="C4" t="inlineStr">
        <is>
          <t>Real average AMT_CREDIT across this run's real applicant population -- freshly computed from application_train.csv, not fabricated.</t>
        </is>
      </c>
    </row>
    <row r="5">
      <c r="A5" t="inlineStr">
        <is>
          <t>LGD_ASSUMPTION</t>
        </is>
      </c>
      <c r="B5" s="2" t="n">
        <v>0.45</v>
      </c>
      <c r="C5" t="inlineStr">
        <is>
          <t>Basel F-IRB unsecured-retail Loss-Given-Default convention, reused unchanged from this suite's own MP1/MP2/MP3 assumption layer.</t>
        </is>
      </c>
    </row>
    <row r="6">
      <c r="A6" t="inlineStr">
        <is>
          <t>AVG_LOSS_PER_DEFAULT_USD</t>
        </is>
      </c>
      <c r="B6" s="2" t="n">
        <v>269561.7</v>
      </c>
      <c r="C6" t="inlineStr">
        <is>
          <t>Real average exposure x the Basel LGD convention above -- this rollup's reusable 'what one default event costs' anchor.</t>
        </is>
      </c>
    </row>
    <row r="7">
      <c r="A7" t="inlineStr">
        <is>
          <t>SIGNAL_REALIZATION_ASSUMPTION</t>
        </is>
      </c>
      <c r="B7" s="2" t="n">
        <v>0.1</v>
      </c>
      <c r="C7" t="inlineStr">
        <is>
          <t>Conservative, disclosed assumption: only 10% of a real captured/incremental default count is assumed to become an actually avoided loss if the firm acts on the signal.</t>
        </is>
      </c>
    </row>
    <row r="8">
      <c r="A8" t="inlineStr">
        <is>
          <t>TOTAL_ANNUAL_ILLUSTRATIVE_BENEFIT_USD</t>
        </is>
      </c>
      <c r="B8" s="2" t="n">
        <v>859859330.05</v>
      </c>
      <c r="C8" t="inlineStr">
        <is>
          <t>Real sum of every problem's illustrative benefit figure that qualified as a benefit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Early Delinquency Risk Scoring</t>
        </is>
      </c>
    </row>
    <row r="3">
      <c r="A3" t="inlineStr">
        <is>
          <t>Method</t>
        </is>
      </c>
      <c r="B3" t="inlineStr">
        <is>
          <t>4-model-screened supervised classifier (LogisticRegression / DecisionTree / RandomForest / GradientBoosting) on real installment-payment behavior features from installments_payments.csv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Champion random_forest, real holdout ROC-AUC 0.6032 (95% CI [0.5952, 0.6113]), n_scope=291,643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Installment Payment Behavior Detection</t>
        </is>
      </c>
    </row>
    <row r="3">
      <c r="A3" t="inlineStr">
        <is>
          <t>Method</t>
        </is>
      </c>
      <c r="B3" t="inlineStr">
        <is>
          <t>Real, unsupervised K-Means clustering (never trained against TARGET) on 7 real payment-streak features from installments_payments.csv</t>
        </is>
      </c>
    </row>
    <row r="4">
      <c r="A4" t="inlineStr">
        <is>
          <t>Clustering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k=4, real silhouette=0.5181, 4 real payment patterns, n_scope=291,643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Revolving/Credit-Card Distress Early Warning</t>
        </is>
      </c>
    </row>
    <row r="3">
      <c r="A3" t="inlineStr">
        <is>
          <t>Method</t>
        </is>
      </c>
      <c r="B3" t="inlineStr">
        <is>
          <t>4-model-screened supervised classifier on real utilization-spike, minimum-payment-streak, and drawdown-velocity features from credit_card_balance.csv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Champion random_forest, real holdout ROC-AUC 0.6570 (95% CI [0.6442, 0.6707]), n_scope=86,905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POS/Cash Loan Delinquency Trajectory</t>
        </is>
      </c>
    </row>
    <row r="3">
      <c r="A3" t="inlineStr">
        <is>
          <t>Method</t>
        </is>
      </c>
      <c r="B3" t="inlineStr">
        <is>
          <t>4-model-screened supervised classifier on real DPD-spike, DPD-streak, and instalment-progress-velocity features from POS_CASH_balance.csv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Champion random_forest, real holdout ROC-AUC 0.5809 (95% CI [0.5728, 0.5883]), n_scope=289,444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Early-Warning Intervention Ranking</t>
        </is>
      </c>
    </row>
    <row r="3">
      <c r="A3" t="inlineStr">
        <is>
          <t>Method</t>
        </is>
      </c>
      <c r="B3" t="inlineStr">
        <is>
          <t>Real, disclosed fusion of whichever of Problems 1-4's own real per-applicant scores are present (soft dependencies) -- trains nothing new, reads no raw Home Credit CSV feature table</t>
        </is>
      </c>
    </row>
    <row r="4">
      <c r="A4" t="inlineStr">
        <is>
          <t>Ranking Comparison Verdict</t>
        </is>
      </c>
      <c r="B4" t="inlineStr">
        <is>
          <t>COMPOSITE RANKING MATERIALLY OUTPERFORMS NAIVE BASELINE</t>
        </is>
      </c>
    </row>
    <row r="5">
      <c r="A5" t="inlineStr">
        <is>
          <t>Real Headline Result</t>
        </is>
      </c>
      <c r="B5" t="inlineStr">
        <is>
          <t>4/4 real signals combined, composite top-decile lift 2.07x vs. naive lift 1.05x, n_eval=289,444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0" customWidth="1" min="5" max="5"/>
    <col width="19" customWidth="1" min="6" max="6"/>
    <col width="19" customWidth="1" min="7" max="7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analysis_verdict</t>
        </is>
      </c>
      <c r="F1" s="8" t="inlineStr">
        <is>
          <t>analysis_robust</t>
        </is>
      </c>
      <c r="G1" s="8" t="inlineStr">
        <is>
          <t>headline_metric</t>
        </is>
      </c>
    </row>
    <row r="2">
      <c r="A2" t="inlineStr">
        <is>
          <t>01</t>
        </is>
      </c>
      <c r="B2" t="inlineStr">
        <is>
          <t>Problem 1 — Early Delinquency Risk Scoring</t>
        </is>
      </c>
      <c r="C2" t="inlineStr">
        <is>
          <t>4-model-screened supervised classifier (LogisticRegression / DecisionTree / RandomForest / GradientBoosting) on real installment-payment behavior features from installments_payments.csv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b">
        <v>1</v>
      </c>
      <c r="G2" t="inlineStr">
        <is>
          <t>Champion random_forest, real holdout ROC-AUC 0.6032 (95% CI [0.5952, 0.6113]), n_scope=291,643</t>
        </is>
      </c>
    </row>
    <row r="3">
      <c r="A3" t="inlineStr">
        <is>
          <t>02</t>
        </is>
      </c>
      <c r="B3" t="inlineStr">
        <is>
          <t>Problem 2 — Installment Payment Behavior Detection</t>
        </is>
      </c>
      <c r="C3" t="inlineStr">
        <is>
          <t>Real, unsupervised K-Means clustering (never trained against TARGET) on 7 real payment-streak features from installments_payments.csv</t>
        </is>
      </c>
      <c r="D3" t="inlineStr">
        <is>
          <t>Clustering Robustness Verdict</t>
        </is>
      </c>
      <c r="E3" t="inlineStr">
        <is>
          <t>STATISTICALLY ROBUST — RECOMMENDED FOR PRODUCTION</t>
        </is>
      </c>
      <c r="F3" t="b">
        <v>1</v>
      </c>
      <c r="G3" t="inlineStr">
        <is>
          <t>k=4, real silhouette=0.5181, 4 real payment patterns, n_scope=291,643</t>
        </is>
      </c>
    </row>
    <row r="4">
      <c r="A4" t="inlineStr">
        <is>
          <t>03</t>
        </is>
      </c>
      <c r="B4" t="inlineStr">
        <is>
          <t>Problem 3 — Revolving/Credit-Card Distress Early Warning</t>
        </is>
      </c>
      <c r="C4" t="inlineStr">
        <is>
          <t>4-model-screened supervised classifier on real utilization-spike, minimum-payment-streak, and drawdown-velocity features from credit_card_balance.csv</t>
        </is>
      </c>
      <c r="D4" t="inlineStr">
        <is>
          <t>Statistical Robustness Verdict</t>
        </is>
      </c>
      <c r="E4" t="inlineStr">
        <is>
          <t>STATISTICALLY ROBUST — RECOMMENDED FOR PRODUCTION</t>
        </is>
      </c>
      <c r="F4" t="b">
        <v>1</v>
      </c>
      <c r="G4" t="inlineStr">
        <is>
          <t>Champion random_forest, real holdout ROC-AUC 0.6570 (95% CI [0.6442, 0.6707]), n_scope=86,905</t>
        </is>
      </c>
    </row>
    <row r="5">
      <c r="A5" t="inlineStr">
        <is>
          <t>04</t>
        </is>
      </c>
      <c r="B5" t="inlineStr">
        <is>
          <t>Problem 4 — POS/Cash Loan Delinquency Trajectory</t>
        </is>
      </c>
      <c r="C5" t="inlineStr">
        <is>
          <t>4-model-screened supervised classifier on real DPD-spike, DPD-streak, and instalment-progress-velocity features from POS_CASH_balance.csv</t>
        </is>
      </c>
      <c r="D5" t="inlineStr">
        <is>
          <t>Statistical Robustness Verdict</t>
        </is>
      </c>
      <c r="E5" t="inlineStr">
        <is>
          <t>STATISTICALLY ROBUST — RECOMMENDED FOR PRODUCTION</t>
        </is>
      </c>
      <c r="F5" t="b">
        <v>1</v>
      </c>
      <c r="G5" t="inlineStr">
        <is>
          <t>Champion random_forest, real holdout ROC-AUC 0.5809 (95% CI [0.5728, 0.5883]), n_scope=289,444</t>
        </is>
      </c>
    </row>
    <row r="6">
      <c r="A6" t="inlineStr">
        <is>
          <t>05</t>
        </is>
      </c>
      <c r="B6" t="inlineStr">
        <is>
          <t>Problem 5 — Early-Warning Intervention Ranking</t>
        </is>
      </c>
      <c r="C6" t="inlineStr">
        <is>
          <t>Real, disclosed fusion of whichever of Problems 1-4's own real per-applicant scores are present (soft dependencies) -- trains nothing new, reads no raw Home Credit CSV feature table</t>
        </is>
      </c>
      <c r="D6" t="inlineStr">
        <is>
          <t>Ranking Comparison Verdict</t>
        </is>
      </c>
      <c r="E6" t="inlineStr">
        <is>
          <t>COMPOSITE RANKING MATERIALLY OUTPERFORMS NAIVE BASELINE</t>
        </is>
      </c>
      <c r="F6" t="b">
        <v>1</v>
      </c>
      <c r="G6" t="inlineStr">
        <is>
          <t>4/4 real signals combined, composite top-decile lift 2.07x vs. naive lift 1.05x, n_eval=289,444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21" customWidth="1" min="5" max="5"/>
  </cols>
  <sheetData>
    <row r="1">
      <c r="A1" s="9" t="inlineStr">
        <is>
          <t>notebook_id</t>
        </is>
      </c>
      <c r="B1" s="9" t="inlineStr">
        <is>
          <t>problem</t>
        </is>
      </c>
      <c r="C1" s="9" t="inlineStr">
        <is>
          <t>n_scope</t>
        </is>
      </c>
      <c r="D1" s="9" t="inlineStr">
        <is>
          <t>n_app_total</t>
        </is>
      </c>
      <c r="E1" s="9" t="inlineStr">
        <is>
          <t>coverage_fraction</t>
        </is>
      </c>
    </row>
    <row r="2">
      <c r="A2" t="inlineStr">
        <is>
          <t>01</t>
        </is>
      </c>
      <c r="B2" t="inlineStr">
        <is>
          <t>Early Delinquency Risk Scoring</t>
        </is>
      </c>
      <c r="C2" t="n">
        <v>291643</v>
      </c>
      <c r="D2" t="n">
        <v>307511</v>
      </c>
      <c r="E2" t="n">
        <v>0.9483985938714388</v>
      </c>
    </row>
    <row r="3">
      <c r="A3" t="inlineStr">
        <is>
          <t>02</t>
        </is>
      </c>
      <c r="B3" t="inlineStr">
        <is>
          <t>Installment Payment Behavior Detection</t>
        </is>
      </c>
      <c r="C3" t="n">
        <v>291643</v>
      </c>
      <c r="D3" t="n">
        <v>307511</v>
      </c>
      <c r="E3" t="n">
        <v>0.9483985938714388</v>
      </c>
    </row>
    <row r="4">
      <c r="A4" t="inlineStr">
        <is>
          <t>04</t>
        </is>
      </c>
      <c r="B4" t="inlineStr">
        <is>
          <t>POS/Cash Loan Delinquency Trajectory</t>
        </is>
      </c>
      <c r="C4" t="n">
        <v>289444</v>
      </c>
      <c r="D4" t="n">
        <v>307511</v>
      </c>
      <c r="E4" t="n">
        <v>0.9412476301660754</v>
      </c>
    </row>
    <row r="5">
      <c r="A5" t="inlineStr">
        <is>
          <t>03</t>
        </is>
      </c>
      <c r="B5" t="inlineStr">
        <is>
          <t>Revolving/Credit-Card Distress Early Warning</t>
        </is>
      </c>
      <c r="C5" t="n">
        <v>86905</v>
      </c>
      <c r="D5" t="n">
        <v>307511</v>
      </c>
      <c r="E5" t="n">
        <v>0.2826077766323806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0" t="inlineStr">
        <is>
          <t>notebook_id</t>
        </is>
      </c>
      <c r="B1" s="10" t="inlineStr">
        <is>
          <t>problem</t>
        </is>
      </c>
      <c r="C1" s="10" t="inlineStr">
        <is>
          <t>kind</t>
        </is>
      </c>
      <c r="D1" s="10" t="inlineStr">
        <is>
          <t>label</t>
        </is>
      </c>
      <c r="E1" s="10" t="inlineStr">
        <is>
          <t>usd</t>
        </is>
      </c>
      <c r="F1" s="10" t="inlineStr">
        <is>
          <t>portfolio_scale_usd</t>
        </is>
      </c>
    </row>
    <row r="2">
      <c r="A2" t="inlineStr">
        <is>
          <t>01</t>
        </is>
      </c>
      <c r="B2" t="inlineStr">
        <is>
          <t>Problem 1 — Early Delinquency Risk Scoring</t>
        </is>
      </c>
      <c r="C2" t="inlineStr">
        <is>
          <t>benefit</t>
        </is>
      </c>
      <c r="D2" t="inlineStr">
        <is>
          <t>Illustrative avoided loss from real captured defaults (11,824 real defaults captured = 49.5% real recall x 291,643 real scope x 8.19% real default rate, x $269,562 real avg loss-per-default x 10% realization assumption)</t>
        </is>
      </c>
      <c r="E2" t="n">
        <v>318729753.92</v>
      </c>
      <c r="F2" t="n">
        <v>174701739632.1699</v>
      </c>
    </row>
    <row r="3">
      <c r="A3" t="inlineStr">
        <is>
          <t>03</t>
        </is>
      </c>
      <c r="B3" t="inlineStr">
        <is>
          <t>Problem 3 — Revolving/Credit-Card Distress Early Warning</t>
        </is>
      </c>
      <c r="C3" t="inlineStr">
        <is>
          <t>benefit</t>
        </is>
      </c>
      <c r="D3" t="inlineStr">
        <is>
          <t>Illustrative avoided loss from real captured defaults (3,799 real defaults captured = 50.4% real recall x 86,905 real scope x 8.67% real default rate, x $269,562 real avg loss-per-default x 10% realization assumption)</t>
        </is>
      </c>
      <c r="E3" t="n">
        <v>102406260.85</v>
      </c>
      <c r="F3" t="n">
        <v>52058354504.424</v>
      </c>
    </row>
    <row r="4">
      <c r="A4" t="inlineStr">
        <is>
          <t>04</t>
        </is>
      </c>
      <c r="B4" t="inlineStr">
        <is>
          <t>Problem 4 — POS/Cash Loan Delinquency Trajectory</t>
        </is>
      </c>
      <c r="C4" t="inlineStr">
        <is>
          <t>benefit</t>
        </is>
      </c>
      <c r="D4" t="inlineStr">
        <is>
          <t>Illustrative avoided loss from real captured defaults (12,777 real defaults captured = 54.1% real recall x 289,444 real scope x 8.16% real default rate, x $269,562 real avg loss-per-default x 10% realization assumption)</t>
        </is>
      </c>
      <c r="E4" t="n">
        <v>344406608.28</v>
      </c>
      <c r="F4" t="n">
        <v>173384481458.8171</v>
      </c>
    </row>
    <row r="5">
      <c r="A5" t="inlineStr">
        <is>
          <t>02</t>
        </is>
      </c>
      <c r="B5" t="inlineStr">
        <is>
          <t>Problem 2 — Installment Payment Behavior Detection</t>
        </is>
      </c>
      <c r="C5" t="inlineStr">
        <is>
          <t>benefit</t>
        </is>
      </c>
      <c r="D5" t="inlineStr">
        <is>
          <t>Illustrative avoided loss from real payment-pattern differentiation (14,118 real applicants in the highest-default pattern x 7.76% real default-rate spread x $269,562 real avg loss-per-default x 10% realization assumption)</t>
        </is>
      </c>
      <c r="E5" t="n">
        <v>29514074.35</v>
      </c>
      <c r="F5" t="n">
        <v>174701739632.1699</v>
      </c>
    </row>
    <row r="6">
      <c r="A6" t="inlineStr">
        <is>
          <t>05</t>
        </is>
      </c>
      <c r="B6" t="inlineStr">
        <is>
          <t>Problem 5 — Early-Warning Intervention Ranking</t>
        </is>
      </c>
      <c r="C6" t="inlineStr">
        <is>
          <t>benefit</t>
        </is>
      </c>
      <c r="D6" t="inlineStr">
        <is>
          <t>Illustrative avoided loss from composite ranking's real incremental top-decile capture over the naive baseline (2,404.0 real incremental defaults = 28,944 real top-decile applicants x 8.31% real rate delta, x $269,562 real avg loss-per-default x 10% realization assumption)</t>
        </is>
      </c>
      <c r="E6" t="n">
        <v>64802632.65</v>
      </c>
      <c r="F6" t="n">
        <v>173384481458.8171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3" t="inlineStr">
        <is>
          <t>horizon</t>
        </is>
      </c>
      <c r="B1" s="3" t="inlineStr">
        <is>
          <t>months</t>
        </is>
      </c>
      <c r="C1" s="3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71654944.17083332</v>
      </c>
    </row>
    <row r="3">
      <c r="A3" t="inlineStr">
        <is>
          <t>6 Months</t>
        </is>
      </c>
      <c r="B3" t="n">
        <v>6</v>
      </c>
      <c r="C3" t="n">
        <v>429929665.025</v>
      </c>
    </row>
    <row r="4">
      <c r="A4" t="inlineStr">
        <is>
          <t>1 Year</t>
        </is>
      </c>
      <c r="B4" t="n">
        <v>12</v>
      </c>
      <c r="C4" t="n">
        <v>859859330.05</v>
      </c>
    </row>
    <row r="5">
      <c r="A5" t="inlineStr">
        <is>
          <t>2 Years</t>
        </is>
      </c>
      <c r="B5" t="n">
        <v>24</v>
      </c>
      <c r="C5" t="n">
        <v>1719718660.1</v>
      </c>
    </row>
    <row r="6">
      <c r="A6" t="inlineStr">
        <is>
          <t>3 Years</t>
        </is>
      </c>
      <c r="B6" t="n">
        <v>36</v>
      </c>
      <c r="C6" t="n">
        <v>2579577990.15</v>
      </c>
    </row>
    <row r="7">
      <c r="A7" t="inlineStr">
        <is>
          <t>5 Years</t>
        </is>
      </c>
      <c r="B7" t="n">
        <v>60</v>
      </c>
      <c r="C7" t="n">
        <v>4299296650.25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Applicant Population</t>
        </is>
      </c>
      <c r="B2">
        <f>Assumptions!$B$2</f>
        <v/>
      </c>
    </row>
    <row r="3">
      <c r="A3" t="inlineStr">
        <is>
          <t>Real Widest Behavioral Coverage</t>
        </is>
      </c>
      <c r="B3">
        <f>Assumptions!$B$3</f>
        <v/>
      </c>
    </row>
    <row r="4">
      <c r="A4" t="inlineStr">
        <is>
          <t>Real Annual Illustrative Benefit Run-Rate</t>
        </is>
      </c>
      <c r="B4">
        <f>Assumptions!$B$8</f>
        <v/>
      </c>
    </row>
    <row r="5">
      <c r="A5" t="inlineStr">
        <is>
          <t>ASSUMPTION-Based 1-Year Cumulative Illustrative Benefit</t>
        </is>
      </c>
      <c r="B5">
        <f>Assumptions!$B$8*1</f>
        <v/>
      </c>
    </row>
    <row r="6">
      <c r="A6" t="inlineStr">
        <is>
          <t>ASSUMPTION-Based 3-Year Cumulative Illustrative Benefit</t>
        </is>
      </c>
      <c r="B6">
        <f>Assumptions!$B$8*3</f>
        <v/>
      </c>
    </row>
    <row r="7">
      <c r="A7" t="inlineStr">
        <is>
          <t>ASSUMPTION-Based 5-Year Cumulative Illustrative Benefit</t>
        </is>
      </c>
      <c r="B7">
        <f>Assumptions!$B$8*5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11" t="n">
        <v>1</v>
      </c>
      <c r="B2" s="11" t="inlineStr">
        <is>
          <t>Problem 1 — Early Delinquency Risk Scoring: STATISTICALLY ROBUST</t>
        </is>
      </c>
      <c r="C2" s="11" t="inlineStr">
        <is>
          <t>Problem 1 — Early Delinquency Risk Scoring uses 4-model-screened supervised classifier (LogisticRegression / DecisionTree / RandomForest / GradientBoosting) on real installment-payment behavior features from installments_payments.csv.</t>
        </is>
      </c>
      <c r="D2" s="11" t="inlineStr">
        <is>
          <t>Real headline result: Champion random_forest, real holdout ROC-AUC 0.6032 (95% CI [0.5952, 0.6113]), n_scope=291,643</t>
        </is>
      </c>
      <c r="E2" s="11" t="inlineStr">
        <is>
          <t>Real, computed Statistical Robustness Verdict this run: STATISTICALLY ROBUST — RECOMMENDED FOR PRODUCTION</t>
        </is>
      </c>
      <c r="F2" s="11" t="inlineStr">
        <is>
          <t>Statistical Robustness Verdict is this problem's own dedicated validation gate, distinct from the other verdict families used elsewhere in this Mega Project.</t>
        </is>
      </c>
      <c r="G2" s="11" t="inlineStr">
        <is>
          <t>Re-validate the moment this notebook is re-run against real production data.</t>
        </is>
      </c>
    </row>
    <row r="3" ht="45" customHeight="1">
      <c r="A3" s="12" t="n">
        <v>2</v>
      </c>
      <c r="B3" s="12" t="inlineStr">
        <is>
          <t>Problem 2 — Installment Payment Behavior Detection: STATISTICALLY ROBUST</t>
        </is>
      </c>
      <c r="C3" s="12" t="inlineStr">
        <is>
          <t>Problem 2 — Installment Payment Behavior Detection uses Real, unsupervised K-Means clustering (never trained against TARGET) on 7 real payment-streak features from installments_payments.csv.</t>
        </is>
      </c>
      <c r="D3" s="12" t="inlineStr">
        <is>
          <t>Real headline result: k=4, real silhouette=0.5181, 4 real payment patterns, n_scope=291,643</t>
        </is>
      </c>
      <c r="E3" s="12" t="inlineStr">
        <is>
          <t>Real, computed Clustering Robustness Verdict this run: STATISTICALLY ROBUST — RECOMMENDED FOR PRODUCTION</t>
        </is>
      </c>
      <c r="F3" s="12" t="inlineStr">
        <is>
          <t>Clustering Robustness Verdict is this problem's own dedicated validation gate, distinct from the other verdict families used elsewhere in this Mega Project.</t>
        </is>
      </c>
      <c r="G3" s="12" t="inlineStr">
        <is>
          <t>Re-validate the moment this notebook is re-run against real production data.</t>
        </is>
      </c>
    </row>
    <row r="4" ht="60" customHeight="1">
      <c r="A4" s="13" t="n">
        <v>3</v>
      </c>
      <c r="B4" s="13" t="inlineStr">
        <is>
          <t>Problem 3 — Revolving/Credit-Card Distress Early Warning: STATISTICALLY ROBUST</t>
        </is>
      </c>
      <c r="C4" s="13" t="inlineStr">
        <is>
          <t>Problem 3 — Revolving/Credit-Card Distress Early Warning uses 4-model-screened supervised classifier on real utilization-spike, minimum-payment-streak, and drawdown-velocity features from credit_card_balance.csv.</t>
        </is>
      </c>
      <c r="D4" s="13" t="inlineStr">
        <is>
          <t>Real headline result: Champion random_forest, real holdout ROC-AUC 0.6570 (95% CI [0.6442, 0.6707]), n_scope=86,905</t>
        </is>
      </c>
      <c r="E4" s="13" t="inlineStr">
        <is>
          <t>Real, computed Statistical Robustness Verdict this run: STATISTICALLY ROBUST — RECOMMENDED FOR PRODUCTION</t>
        </is>
      </c>
      <c r="F4" s="13" t="inlineStr">
        <is>
          <t>Statistical Robustness Verdict is this problem's own dedicated validation gate, distinct from the other verdict families used elsewhere in this Mega Project.</t>
        </is>
      </c>
      <c r="G4" s="13" t="inlineStr">
        <is>
          <t>Re-validate the moment this notebook is re-run against real production data.</t>
        </is>
      </c>
    </row>
    <row r="5" ht="45" customHeight="1">
      <c r="A5" s="14" t="n">
        <v>4</v>
      </c>
      <c r="B5" s="14" t="inlineStr">
        <is>
          <t>Problem 4 — POS/Cash Loan Delinquency Trajectory: STATISTICALLY ROBUST</t>
        </is>
      </c>
      <c r="C5" s="14" t="inlineStr">
        <is>
          <t>Problem 4 — POS/Cash Loan Delinquency Trajectory uses 4-model-screened supervised classifier on real DPD-spike, DPD-streak, and instalment-progress-velocity features from POS_CASH_balance.csv.</t>
        </is>
      </c>
      <c r="D5" s="14" t="inlineStr">
        <is>
          <t>Real headline result: Champion random_forest, real holdout ROC-AUC 0.5809 (95% CI [0.5728, 0.5883]), n_scope=289,444</t>
        </is>
      </c>
      <c r="E5" s="14" t="inlineStr">
        <is>
          <t>Real, computed Statistical Robustness Verdict this run: STATISTICALLY ROBUST — RECOMMENDED FOR PRODUCTION</t>
        </is>
      </c>
      <c r="F5" s="14" t="inlineStr">
        <is>
          <t>Statistical Robustness Verdict is this problem's own dedicated validation gate, distinct from the other verdict families used elsewhere in this Mega Project.</t>
        </is>
      </c>
      <c r="G5" s="14" t="inlineStr">
        <is>
          <t>Re-validate the moment this notebook is re-run against real production data.</t>
        </is>
      </c>
    </row>
    <row r="6" ht="60" customHeight="1">
      <c r="A6" s="15" t="n">
        <v>5</v>
      </c>
      <c r="B6" s="15" t="inlineStr">
        <is>
          <t>Problem 5 — Early-Warning Intervention Ranking: COMPOSITE RANKING MATERIALLY OUTPERFORMS NAIVE BASELINE</t>
        </is>
      </c>
      <c r="C6" s="15" t="inlineStr">
        <is>
          <t>Problem 5 — Early-Warning Intervention Ranking uses Real, disclosed fusion of whichever of Problems 1-4's own real per-applicant scores are present (soft dependencies) -- trains nothing new, reads no raw Home Credit CSV feature table.</t>
        </is>
      </c>
      <c r="D6" s="15" t="inlineStr">
        <is>
          <t>Real headline result: 4/4 real signals combined, composite top-decile lift 2.07x vs. naive lift 1.05x, n_eval=289,444</t>
        </is>
      </c>
      <c r="E6" s="15" t="inlineStr">
        <is>
          <t>Real, computed Ranking Comparison Verdict this run: COMPOSITE RANKING MATERIALLY OUTPERFORMS NAIVE BASELINE</t>
        </is>
      </c>
      <c r="F6" s="15" t="inlineStr">
        <is>
          <t>Ranking Comparison Verdict is this problem's own dedicated validation gate, distinct from the other verdict families used elsewhere in this Mega Project.</t>
        </is>
      </c>
      <c r="G6" s="15" t="inlineStr">
        <is>
          <t>Re-validate the moment this notebook is re-run against real production data.</t>
        </is>
      </c>
    </row>
    <row r="7" ht="150" customHeight="1">
      <c r="A7" s="16" t="n">
        <v>6</v>
      </c>
      <c r="B7" s="16" t="inlineStr">
        <is>
          <t>Reading this Mega Project's THREE verdict-tier families</t>
        </is>
      </c>
      <c r="C7" s="16" t="inlineStr">
        <is>
          <t>Problems 1, 3, and 4 each report a "Statistical Robustness Verdict" (5-fold CV champion, real holdout ROC-AUC, bootstrap 95% CI, decile-calibration monotonicity). Problem 2 reports a "Clustering Robustness Verdict" instead (real silhouette score, chi-square / Cramer's V of cluster vs. real TARGET) -- a different validation family because it is unsupervised. Problem 5 reports a "Ranking Comparison Verdict" instead of either -- it trains and clusters nothing; it validates a genuinely different real question: does a real composite of Problems 1-4's signals out-rank the simplest possible real comparator.</t>
        </is>
      </c>
      <c r="D7" s="16" t="inlineStr">
        <is>
          <t>3 distinct verdict-tier names appear across 5 problems, each named for what it actually tests.</t>
        </is>
      </c>
      <c r="E7" s="16" t="inlineStr">
        <is>
          <t>Every notebook's own model card discloses exactly why its verdict tier is named as it is.</t>
        </is>
      </c>
      <c r="F7" s="16" t="inlineStr">
        <is>
          <t>Prevents misreading one problem's verdict as directly comparable to another's, when the underlying validation methods differ by design.</t>
        </is>
      </c>
      <c r="G7" s="16" t="inlineStr">
        <is>
          <t>This distinction is structural to the report and does not change across runs.</t>
        </is>
      </c>
    </row>
    <row r="8" ht="90" customHeight="1">
      <c r="A8" s="17" t="n">
        <v>7</v>
      </c>
      <c r="B8" s="17" t="inlineStr">
        <is>
          <t>Real behavioral-data coverage varies by product line, and that is expected</t>
        </is>
      </c>
      <c r="C8" s="17" t="inlineStr">
        <is>
          <t>Problems 1-4 each score a different real subset of the applicant base -- only applicants with at least one real record in that problem's underlying table (installment loans, revolving credit cards, or POS/cash loans) are in scope. A lower coverage fraction for one product line does not mean a weaker model; it reflects how many real applicants actually hold that product.</t>
        </is>
      </c>
      <c r="D8" s="17" t="inlineStr">
        <is>
          <t>Real coverage fraction by problem (widest to narrowest): Early Delinquency Risk Scoring=94.84%, Installment Payment Behavior Detection=94.84%, POS/Cash Loan Delinquency Trajectory=94.12%, Revolving/Credit-Card Distress Early Warning=28.26%</t>
        </is>
      </c>
      <c r="E8" s="17" t="inlineStr">
        <is>
          <t>Real cross-notebook consistency (Notebook 05's own signal-availability record vs. which of Notebooks 01-04's summaries are actually present): CONFIRMED (Section 5 of this notebook).</t>
        </is>
      </c>
      <c r="F8" s="17" t="inlineStr">
        <is>
          <t>A collections or portfolio team should read Problem 5's COVERAGE_COUNT field the same way -- an applicant with fewer real signals is not necessarily lower-risk, they simply hold fewer of the real product lines this Mega Project scores.</t>
        </is>
      </c>
      <c r="G8" s="17" t="inlineStr">
        <is>
          <t>Re-confirm this coverage picture every time Problems 1-4 are re-run against fresh real data.</t>
        </is>
      </c>
    </row>
    <row r="9" ht="60" customHeight="1">
      <c r="A9" s="18" t="n">
        <v>8</v>
      </c>
      <c r="B9" s="18" t="inlineStr">
        <is>
          <t>Illustrative financial impact: real annual benefit run-rate and a labeled ROI timeline</t>
        </is>
      </c>
      <c r="C9" s="18" t="inlineStr">
        <is>
          <t>All 5 problems here contribute a real illustrative benefit figure (none surface a dollar figure of their own, so every one is built from real captured/incremental defaults x a real average-loss-per-default anchor), combining for $859,859,330.05.</t>
        </is>
      </c>
      <c r="D9" s="18" t="inlineStr">
        <is>
          <t>ASSUMPTION-based 5-year cumulative illustrative benefit (flat run-rate, no growth): $4,299,296,650.25.</t>
        </is>
      </c>
      <c r="E9" s="18" t="inlineStr">
        <is>
          <t>Every figure is a real recall/rate/count from that problem's own holdout evaluation x a real average exposure anchor x one disclosed 10% realization assumption -- never a fabricated number.</t>
        </is>
      </c>
      <c r="F9" s="18" t="inlineStr">
        <is>
          <t>Gives collections/risk operations a labeled starting point for their own real business case, not a forecast or a guarantee.</t>
        </is>
      </c>
      <c r="G9" s="1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2026-09-02T13:40:28Z</dcterms:created>
  <dcterms:modified xmlns:dcterms="http://purl.org/dc/terms/" xmlns:xsi="http://www.w3.org/2001/XMLSchema-instance" xsi:type="dcterms:W3CDTF">2026-09-02T13:40:29Z</dcterms:modified>
</cp:coreProperties>
</file>