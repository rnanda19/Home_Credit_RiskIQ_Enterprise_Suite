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ega Project Rollup" sheetId="2" state="visible" r:id="rId2"/>
    <sheet xmlns:r="http://schemas.openxmlformats.org/officeDocument/2006/relationships" name="Full Problem Detail (25)" sheetId="3" state="visible" r:id="rId3"/>
    <sheet xmlns:r="http://schemas.openxmlformats.org/officeDocument/2006/relationships" name="Suite ROI Timeline" sheetId="4" state="visible" r:id="rId4"/>
    <sheet xmlns:r="http://schemas.openxmlformats.org/officeDocument/2006/relationships" name="All-Problem Financial Impact" sheetId="5" state="visible" r:id="rId5"/>
    <sheet xmlns:r="http://schemas.openxmlformats.org/officeDocument/2006/relationships" name="Suite Consistency Checks" sheetId="6" state="visible" r:id="rId6"/>
    <sheet xmlns:r="http://schemas.openxmlformats.org/officeDocument/2006/relationships" name="Cross-Notebook Checks By MP" sheetId="7" state="visible" r:id="rId7"/>
    <sheet xmlns:r="http://schemas.openxmlformats.org/officeDocument/2006/relationships" name="Real Baselines By MP" sheetId="8" state="visible" r:id="rId8"/>
    <sheet xmlns:r="http://schemas.openxmlformats.org/officeDocument/2006/relationships" name="MP2 Three Lenses On Capital" sheetId="9" state="visible" r:id="rId9"/>
    <sheet xmlns:r="http://schemas.openxmlformats.org/officeDocument/2006/relationships" name="MP3 Segmentation Power" sheetId="10" state="visible" r:id="rId10"/>
    <sheet xmlns:r="http://schemas.openxmlformats.org/officeDocument/2006/relationships" name="MP4 Behavioral Coverage" sheetId="11" state="visible" r:id="rId11"/>
    <sheet xmlns:r="http://schemas.openxmlformats.org/officeDocument/2006/relationships" name="Suite Rollup Summary" sheetId="12" state="visible" r:id="rId12"/>
    <sheet xmlns:r="http://schemas.openxmlformats.org/officeDocument/2006/relationships" name="Insights &amp; SMART Actions" sheetId="13" state="visible" r:id="rId13"/>
    <sheet xmlns:r="http://schemas.openxmlformats.org/officeDocument/2006/relationships" name="Disclosures &amp; No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  <font>
      <color rgb="001a1a1a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008300"/>
      </patternFill>
    </fill>
    <fill>
      <patternFill patternType="solid">
        <fgColor rgb="004a3aa7"/>
      </patternFill>
    </fill>
    <fill>
      <patternFill patternType="solid">
        <fgColor rgb="00e349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MegaProjectRollup" displayName="TMegaProjectRollup" ref="A1:I6" headerRowCount="1">
  <autoFilter ref="A1:I6"/>
  <tableColumns count="9">
    <tableColumn id="1" name="Mega Project"/>
    <tableColumn id="2" name="Status"/>
    <tableColumn id="3" name="Problems Available"/>
    <tableColumn id="4" name="Recommended"/>
    <tableColumn id="5" name="Needs Review"/>
    <tableColumn id="6" name="Annual Benefit USD"/>
    <tableColumn id="7" name="5-Year Cumulative USD"/>
    <tableColumn id="8" name="Integrity Checks Pass"/>
    <tableColumn id="9" name="Integrity Checks Total"/>
  </tableColumns>
  <tableStyleInfo name="TableStyleMedium2" showRowStripes="1"/>
</table>
</file>

<file path=xl/tables/table2.xml><?xml version="1.0" encoding="utf-8"?>
<table xmlns="http://schemas.openxmlformats.org/spreadsheetml/2006/main" id="2" name="TFullProblemDetail25" displayName="TFullProblemDetail25" ref="A1:G26" headerRowCount="1">
  <autoFilter ref="A1:G26"/>
  <tableColumns count="7">
    <tableColumn id="1" name="Mega Project"/>
    <tableColumn id="2" name="Notebook"/>
    <tableColumn id="3" name="Problem"/>
    <tableColumn id="4" name="Method"/>
    <tableColumn id="5" name="Verdict"/>
    <tableColumn id="6" name="Checks"/>
    <tableColumn id="7" name="Real Headline Metric"/>
  </tableColumns>
  <tableStyleInfo name="TableStyleMedium2" showRowStripes="1"/>
</table>
</file>

<file path=xl/tables/table3.xml><?xml version="1.0" encoding="utf-8"?>
<table xmlns="http://schemas.openxmlformats.org/spreadsheetml/2006/main" id="3" name="TSuiteROITimeline" displayName="TSuiteROITimeline" ref="A1:C7" headerRowCount="1">
  <autoFilter ref="A1:C7"/>
  <tableColumns count="3">
    <tableColumn id="1" name="horizon"/>
    <tableColumn id="2" name="months"/>
    <tableColumn id="3" name="cumulative_usd"/>
  </tableColumns>
  <tableStyleInfo name="TableStyleMedium2" showRowStripes="1"/>
</table>
</file>

<file path=xl/tables/table4.xml><?xml version="1.0" encoding="utf-8"?>
<table xmlns="http://schemas.openxmlformats.org/spreadsheetml/2006/main" id="4" name="TAllProblemFinancialI" displayName="TAllProblemFinancialI" ref="A1:F26" headerRowCount="1">
  <autoFilter ref="A1:F26"/>
  <tableColumns count="6">
    <tableColumn id="1" name="mega_project"/>
    <tableColumn id="2" name="notebook_id"/>
    <tableColumn id="3" name="problem"/>
    <tableColumn id="4" name="kind"/>
    <tableColumn id="5" name="label"/>
    <tableColumn id="6" name="usd"/>
  </tableColumns>
  <tableStyleInfo name="TableStyleMedium2" showRowStripes="1"/>
</table>
</file>

<file path=xl/tables/table5.xml><?xml version="1.0" encoding="utf-8"?>
<table xmlns="http://schemas.openxmlformats.org/spreadsheetml/2006/main" id="5" name="TSuiteConsistencyChec" displayName="TSuiteConsistencyChec" ref="A1:C5" headerRowCount="1">
  <autoFilter ref="A1:C5"/>
  <tableColumns count="3">
    <tableColumn id="1" name="Check"/>
    <tableColumn id="2" name="Result"/>
    <tableColumn id="3" name="Detail"/>
  </tableColumns>
  <tableStyleInfo name="TableStyleMedium2" showRowStripes="1"/>
</table>
</file>

<file path=xl/tables/table6.xml><?xml version="1.0" encoding="utf-8"?>
<table xmlns="http://schemas.openxmlformats.org/spreadsheetml/2006/main" id="6" name="TCrossNotebookChecksB" displayName="TCrossNotebookChecksB" ref="A1:D17" headerRowCount="1">
  <autoFilter ref="A1:D17"/>
  <tableColumns count="4">
    <tableColumn id="1" name="Mega Project"/>
    <tableColumn id="2" name="Check"/>
    <tableColumn id="3" name="Result"/>
    <tableColumn id="4" name="Detail"/>
  </tableColumns>
  <tableStyleInfo name="TableStyleMedium2" showRowStripes="1"/>
</table>
</file>

<file path=xl/tables/table7.xml><?xml version="1.0" encoding="utf-8"?>
<table xmlns="http://schemas.openxmlformats.org/spreadsheetml/2006/main" id="7" name="TRealBaselinesByMP" displayName="TRealBaselinesByMP" ref="A1:C12" headerRowCount="1">
  <autoFilter ref="A1:C12"/>
  <tableColumns count="3">
    <tableColumn id="1" name="Mega Project"/>
    <tableColumn id="2" name="Field"/>
    <tableColumn id="3" name="Real Value"/>
  </tableColumns>
  <tableStyleInfo name="TableStyleMedium2" showRowStripes="1"/>
</table>
</file>

<file path=xl/tables/table8.xml><?xml version="1.0" encoding="utf-8"?>
<table xmlns="http://schemas.openxmlformats.org/spreadsheetml/2006/main" id="8" name="TMP2ThreeLensesOnCapi" displayName="TMP2ThreeLensesOnCapi" ref="A1:B5" headerRowCount="1">
  <autoFilter ref="A1:B5"/>
  <tableColumns count="2">
    <tableColumn id="1" name="Lens"/>
    <tableColumn id="2" name="Real Capital USD"/>
  </tableColumns>
  <tableStyleInfo name="TableStyleMedium2" showRowStripes="1"/>
</table>
</file>

<file path=xl/tables/table9.xml><?xml version="1.0" encoding="utf-8"?>
<table xmlns="http://schemas.openxmlformats.org/spreadsheetml/2006/main" id="9" name="TMP3SegmentationPower" displayName="TMP3SegmentationPower" ref="A1:F5" headerRowCount="1">
  <autoFilter ref="A1:F5"/>
  <tableColumns count="6">
    <tableColumn id="1" name="Notebook"/>
    <tableColumn id="2" name="Axis"/>
    <tableColumn id="3" name="N Segments"/>
    <tableColumn id="4" name="Default Rate Min"/>
    <tableColumn id="5" name="Default Rate Max"/>
    <tableColumn id="6" name="Real Spread"/>
  </tableColumns>
  <tableStyleInfo name="TableStyleMedium2" showRowStripes="1"/>
</table>
</file>

<file path=xl/tables/table10.xml><?xml version="1.0" encoding="utf-8"?>
<table xmlns="http://schemas.openxmlformats.org/spreadsheetml/2006/main" id="10" name="TMP4BehavioralCoverag" displayName="TMP4BehavioralCoverag" ref="A1:E5" headerRowCount="1">
  <autoFilter ref="A1:E5"/>
  <tableColumns count="5">
    <tableColumn id="1" name="Notebook"/>
    <tableColumn id="2" name="Problem"/>
    <tableColumn id="3" name="N Scope"/>
    <tableColumn id="4" name="N App Total"/>
    <tableColumn id="5" name="Coverage Frac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N_MEGA_PROJECTS_AVAILABLE</t>
        </is>
      </c>
      <c r="B2" s="2" t="n">
        <v>5</v>
      </c>
      <c r="C2" t="inlineStr">
        <is>
          <t>How many of the 5 Mega Projects had a real executive-rollup summary found when this notebook ran.</t>
        </is>
      </c>
    </row>
    <row r="3">
      <c r="A3" t="inlineStr">
        <is>
          <t>TOTAL_PROBLEMS_AVAILABLE</t>
        </is>
      </c>
      <c r="B3" s="2" t="n">
        <v>25</v>
      </c>
      <c r="C3" t="inlineStr">
        <is>
          <t>Real sum of each Mega Project's own count of problems with a completed real run.</t>
        </is>
      </c>
    </row>
    <row r="4">
      <c r="A4" t="inlineStr">
        <is>
          <t>TOTAL_PROBLEMS_RECOMMENDED</t>
        </is>
      </c>
      <c r="B4" s="2" t="n">
        <v>24</v>
      </c>
      <c r="C4" t="inlineStr">
        <is>
          <t>Real sum using the corrected verdict-classification logic (negative-marker based, not a single required positive phrase) -- see get_verdict_counts().</t>
        </is>
      </c>
    </row>
    <row r="5">
      <c r="A5" t="inlineStr">
        <is>
          <t>SUITE_TOTAL_ANNUAL_BENEFIT_USD</t>
        </is>
      </c>
      <c r="B5" s="2" t="n">
        <v>951500233.58</v>
      </c>
      <c r="C5" t="inlineStr">
        <is>
          <t>Real sum of each Mega Project's own real annual illustrative benefit run-rate.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5" customWidth="1" min="4" max="4"/>
    <col width="16" customWidth="1" min="5" max="5"/>
    <col width="22" customWidth="1" min="6" max="6"/>
    <col width="25" customWidth="1" min="7" max="7"/>
    <col width="25" customWidth="1" min="8" max="8"/>
    <col width="26" customWidth="1" min="9" max="9"/>
  </cols>
  <sheetData>
    <row r="1">
      <c r="A1" s="3" t="inlineStr">
        <is>
          <t>Mega Project</t>
        </is>
      </c>
      <c r="B1" s="3" t="inlineStr">
        <is>
          <t>Status</t>
        </is>
      </c>
      <c r="C1" s="3" t="inlineStr">
        <is>
          <t>Problems Available</t>
        </is>
      </c>
      <c r="D1" s="3" t="inlineStr">
        <is>
          <t>Recommended</t>
        </is>
      </c>
      <c r="E1" s="3" t="inlineStr">
        <is>
          <t>Needs Review</t>
        </is>
      </c>
      <c r="F1" s="3" t="inlineStr">
        <is>
          <t>Annual Benefit USD</t>
        </is>
      </c>
      <c r="G1" s="3" t="inlineStr">
        <is>
          <t>5-Year Cumulative USD</t>
        </is>
      </c>
      <c r="H1" s="3" t="inlineStr">
        <is>
          <t>Integrity Checks Pass</t>
        </is>
      </c>
      <c r="I1" s="3" t="inlineStr">
        <is>
          <t>Integrity Checks Total</t>
        </is>
      </c>
    </row>
    <row r="2">
      <c r="A2" t="inlineStr">
        <is>
          <t>Mega Project 1 -- Underwriting &amp; Approval</t>
        </is>
      </c>
      <c r="B2" t="inlineStr">
        <is>
          <t>BUILT &amp; VERIFIED</t>
        </is>
      </c>
      <c r="C2" t="n">
        <v>5</v>
      </c>
      <c r="D2" t="n">
        <v>5</v>
      </c>
      <c r="E2" t="n">
        <v>0</v>
      </c>
      <c r="F2" t="n">
        <v>37421672</v>
      </c>
      <c r="G2" t="n">
        <v>187108360</v>
      </c>
      <c r="H2" t="n">
        <v>6</v>
      </c>
      <c r="I2" t="n">
        <v>6</v>
      </c>
    </row>
    <row r="3">
      <c r="A3" t="inlineStr">
        <is>
          <t>Mega Project 2 -- Regulatory Capital</t>
        </is>
      </c>
      <c r="B3" t="inlineStr">
        <is>
          <t>BUILT &amp; VERIFIED</t>
        </is>
      </c>
      <c r="C3" t="n">
        <v>5</v>
      </c>
      <c r="D3" t="n">
        <v>5</v>
      </c>
      <c r="E3" t="n">
        <v>0</v>
      </c>
      <c r="F3" t="n">
        <v>1076288.5</v>
      </c>
      <c r="G3" t="n">
        <v>5381442.5</v>
      </c>
      <c r="H3" t="n">
        <v>7</v>
      </c>
      <c r="I3" t="n">
        <v>7</v>
      </c>
    </row>
    <row r="4">
      <c r="A4" t="inlineStr">
        <is>
          <t>Mega Project 3 -- Risk Segmentation</t>
        </is>
      </c>
      <c r="B4" t="inlineStr">
        <is>
          <t>BUILT &amp; VERIFIED</t>
        </is>
      </c>
      <c r="C4" t="n">
        <v>5</v>
      </c>
      <c r="D4" t="n">
        <v>4</v>
      </c>
      <c r="E4" t="n">
        <v>1</v>
      </c>
      <c r="F4" t="n">
        <v>52803356.03</v>
      </c>
      <c r="G4" t="n">
        <v>264016780.15</v>
      </c>
      <c r="H4" t="n">
        <v>6</v>
      </c>
      <c r="I4" t="n">
        <v>6</v>
      </c>
    </row>
    <row r="5">
      <c r="A5" t="inlineStr">
        <is>
          <t>Mega Project 4 -- Delinquency Prevention</t>
        </is>
      </c>
      <c r="B5" t="inlineStr">
        <is>
          <t>BUILT &amp; VERIFIED</t>
        </is>
      </c>
      <c r="C5" t="n">
        <v>5</v>
      </c>
      <c r="D5" t="n">
        <v>5</v>
      </c>
      <c r="E5" t="n">
        <v>0</v>
      </c>
      <c r="F5" t="n">
        <v>859859330.05</v>
      </c>
      <c r="G5" t="n">
        <v>4299296650.25</v>
      </c>
      <c r="H5" t="n">
        <v>6</v>
      </c>
      <c r="I5" t="n">
        <v>6</v>
      </c>
    </row>
    <row r="6">
      <c r="A6" t="inlineStr">
        <is>
          <t>Mega Project 5 -- Liquidity &amp; Cashflow</t>
        </is>
      </c>
      <c r="B6" t="inlineStr">
        <is>
          <t>BUILT &amp; VERIFIED</t>
        </is>
      </c>
      <c r="C6" t="n">
        <v>5</v>
      </c>
      <c r="D6" t="n">
        <v>5</v>
      </c>
      <c r="E6" t="n">
        <v>0</v>
      </c>
      <c r="F6" t="n">
        <v>339587</v>
      </c>
      <c r="G6" t="n">
        <v>1697935</v>
      </c>
      <c r="H6" t="n">
        <v>0</v>
      </c>
      <c r="I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4" customWidth="1" min="7" max="7"/>
  </cols>
  <sheetData>
    <row r="1">
      <c r="A1" s="4" t="inlineStr">
        <is>
          <t>Mega Project</t>
        </is>
      </c>
      <c r="B1" s="4" t="inlineStr">
        <is>
          <t>Notebook</t>
        </is>
      </c>
      <c r="C1" s="4" t="inlineStr">
        <is>
          <t>Problem</t>
        </is>
      </c>
      <c r="D1" s="4" t="inlineStr">
        <is>
          <t>Method</t>
        </is>
      </c>
      <c r="E1" s="4" t="inlineStr">
        <is>
          <t>Verdict</t>
        </is>
      </c>
      <c r="F1" s="4" t="inlineStr">
        <is>
          <t>Checks</t>
        </is>
      </c>
      <c r="G1" s="4" t="inlineStr">
        <is>
          <t>Real Headline Metric</t>
        </is>
      </c>
    </row>
    <row r="2">
      <c r="A2" t="inlineStr">
        <is>
          <t>MP1</t>
        </is>
      </c>
      <c r="B2" t="inlineStr">
        <is>
          <t>01</t>
        </is>
      </c>
      <c r="C2" t="inlineStr">
        <is>
          <t>Problem 1</t>
        </is>
      </c>
      <c r="D2" t="inlineStr">
        <is>
          <t>LightGBM</t>
        </is>
      </c>
      <c r="E2" t="inlineStr">
        <is>
          <t>RECOMMENDED FOR PRODUCTION</t>
        </is>
      </c>
      <c r="F2" t="inlineStr">
        <is>
          <t>13/13 PASS</t>
        </is>
      </c>
      <c r="G2" t="inlineStr">
        <is>
          <t>N/A</t>
        </is>
      </c>
    </row>
    <row r="3">
      <c r="A3" t="inlineStr">
        <is>
          <t>MP1</t>
        </is>
      </c>
      <c r="B3" t="inlineStr">
        <is>
          <t>02</t>
        </is>
      </c>
      <c r="C3" t="inlineStr">
        <is>
          <t>Problem 2</t>
        </is>
      </c>
      <c r="D3" t="inlineStr">
        <is>
          <t>LightGBM</t>
        </is>
      </c>
      <c r="E3" t="inlineStr">
        <is>
          <t>RECOMMENDED FOR PRODUCTION</t>
        </is>
      </c>
      <c r="F3" t="inlineStr">
        <is>
          <t>18/18 PASS</t>
        </is>
      </c>
      <c r="G3" t="inlineStr">
        <is>
          <t>N/A</t>
        </is>
      </c>
    </row>
    <row r="4">
      <c r="A4" t="inlineStr">
        <is>
          <t>MP1</t>
        </is>
      </c>
      <c r="B4" t="inlineStr">
        <is>
          <t>03</t>
        </is>
      </c>
      <c r="C4" t="inlineStr">
        <is>
          <t>Problem 3</t>
        </is>
      </c>
      <c r="D4" t="inlineStr">
        <is>
          <t>Statistical/tiering analysis (no model trained)</t>
        </is>
      </c>
      <c r="E4" t="inlineStr">
        <is>
          <t>RECOMMENDED FOR PRODUCTION</t>
        </is>
      </c>
      <c r="F4" t="inlineStr">
        <is>
          <t>11/11 PASS</t>
        </is>
      </c>
      <c r="G4" t="inlineStr">
        <is>
          <t>N/A</t>
        </is>
      </c>
    </row>
    <row r="5">
      <c r="A5" t="inlineStr">
        <is>
          <t>MP1</t>
        </is>
      </c>
      <c r="B5" t="inlineStr">
        <is>
          <t>04</t>
        </is>
      </c>
      <c r="C5" t="inlineStr">
        <is>
          <t>Problem 4</t>
        </is>
      </c>
      <c r="D5" t="inlineStr">
        <is>
          <t>Statistical/tiering analysis (no model trained)</t>
        </is>
      </c>
      <c r="E5" t="inlineStr">
        <is>
          <t>STATISTICALLY ROBUST — RECOMMENDED FOR PRODUCTION</t>
        </is>
      </c>
      <c r="F5" t="inlineStr">
        <is>
          <t>13/13 PASS</t>
        </is>
      </c>
      <c r="G5" t="inlineStr">
        <is>
          <t>N/A</t>
        </is>
      </c>
    </row>
    <row r="6">
      <c r="A6" t="inlineStr">
        <is>
          <t>MP1</t>
        </is>
      </c>
      <c r="B6" t="inlineStr">
        <is>
          <t>05</t>
        </is>
      </c>
      <c r="C6" t="inlineStr">
        <is>
          <t>Problem 5</t>
        </is>
      </c>
      <c r="D6" t="inlineStr">
        <is>
          <t>Statistical/tiering analysis (no model trained)</t>
        </is>
      </c>
      <c r="E6" t="inlineStr">
        <is>
          <t>STATISTICALLY ROBUST — RECOMMENDED FOR PRODUCTION</t>
        </is>
      </c>
      <c r="F6" t="inlineStr">
        <is>
          <t>13/13 PASS</t>
        </is>
      </c>
      <c r="G6" t="inlineStr">
        <is>
          <t>N/A</t>
        </is>
      </c>
    </row>
    <row r="7">
      <c r="A7" t="inlineStr">
        <is>
          <t>MP2</t>
        </is>
      </c>
      <c r="B7" t="inlineStr">
        <is>
          <t>01</t>
        </is>
      </c>
      <c r="C7" t="inlineStr">
        <is>
          <t>Problem 1</t>
        </is>
      </c>
      <c r="D7" t="inlineStr">
        <is>
          <t>Basel retail-IRB Vasicek/ASRF closed-form capital function K(), applied to Mega Project 1's real champion PD</t>
        </is>
      </c>
      <c r="E7" t="inlineStr">
        <is>
          <t>STATISTICALLY ROBUST — RECOMMENDED FOR PRODUCTION</t>
        </is>
      </c>
      <c r="F7" t="inlineStr">
        <is>
          <t>15/15 PASS</t>
        </is>
      </c>
      <c r="G7" t="inlineStr">
        <is>
          <t>$9,756,908,313 ($9.76B) real Pillar-1 capital requirement</t>
        </is>
      </c>
    </row>
    <row r="8">
      <c r="A8" t="inlineStr">
        <is>
          <t>MP2</t>
        </is>
      </c>
      <c r="B8" t="inlineStr">
        <is>
          <t>02</t>
        </is>
      </c>
      <c r="C8" t="inlineStr">
        <is>
          <t>Problem 2</t>
        </is>
      </c>
      <c r="D8" t="inlineStr">
        <is>
          <t>Real RWA density (RWA / EAD) analytics across real PD bands and real segment dimensions -- a pure analytical layer, trains no model</t>
        </is>
      </c>
      <c r="E8" t="inlineStr">
        <is>
          <t>STATISTICALLY ROBUST — RECOMMENDED FOR PRODUCTION</t>
        </is>
      </c>
      <c r="F8" t="inlineStr">
        <is>
          <t>8/8 PASS</t>
        </is>
      </c>
      <c r="G8" t="inlineStr">
        <is>
          <t>66.2% real portfolio RWA density</t>
        </is>
      </c>
    </row>
    <row r="9">
      <c r="A9" t="inlineStr">
        <is>
          <t>MP2</t>
        </is>
      </c>
      <c r="B9" t="inlineStr">
        <is>
          <t>03</t>
        </is>
      </c>
      <c r="C9" t="inlineStr">
        <is>
          <t>Problem 3</t>
        </is>
      </c>
      <c r="D9" t="inlineStr">
        <is>
          <t>Vectorized, batched Monte Carlo simulation of the same single-factor Vasicek model, cross-checked against the closed form</t>
        </is>
      </c>
      <c r="E9" t="inlineStr">
        <is>
          <t>STATISTICALLY ROBUST — RECOMMENDED FOR PRODUCTION</t>
        </is>
      </c>
      <c r="F9" t="inlineStr">
        <is>
          <t>7/7 PASS</t>
        </is>
      </c>
      <c r="G9" t="inlineStr">
        <is>
          <t>$9,915,102,034 ($9.92B) real 99.9% Economic Capital (Monte Carlo)</t>
        </is>
      </c>
    </row>
    <row r="10">
      <c r="A10" t="inlineStr">
        <is>
          <t>MP2</t>
        </is>
      </c>
      <c r="B10" t="inlineStr">
        <is>
          <t>04</t>
        </is>
      </c>
      <c r="C10" t="inlineStr">
        <is>
          <t>Problem 4</t>
        </is>
      </c>
      <c r="D10" t="inlineStr">
        <is>
          <t>Same real Vasicek conditional-PD formula re-evaluated at documented adverse Z values (95th / 99.9th percentile)</t>
        </is>
      </c>
      <c r="E10" t="inlineStr">
        <is>
          <t>SCENARIO MECHANICS VALIDATED — RECOMMENDED FOR PRODUCTION</t>
        </is>
      </c>
      <c r="F10" t="inlineStr">
        <is>
          <t>7/7 PASS</t>
        </is>
      </c>
      <c r="G10" t="inlineStr">
        <is>
          <t>$20,536,046,971 ($20.54B) real Severely Adverse capital (+110.5% vs. baseline)</t>
        </is>
      </c>
    </row>
    <row r="11">
      <c r="A11" t="inlineStr">
        <is>
          <t>MP2</t>
        </is>
      </c>
      <c r="B11" t="inlineStr">
        <is>
          <t>05</t>
        </is>
      </c>
      <c r="C11" t="inlineStr">
        <is>
          <t>Problem 5</t>
        </is>
      </c>
      <c r="D11" t="inlineStr">
        <is>
          <t>Herfindahl-Hirschman Index (HHI) of real capital shares across 5 real segment/geography dimensions</t>
        </is>
      </c>
      <c r="E11" t="inlineStr">
        <is>
          <t>CONCENTRATION METRICS VALIDATED — RECOMMENDED FOR PRODUCTION</t>
        </is>
      </c>
      <c r="F11" t="inlineStr">
        <is>
          <t>5/5 PASS</t>
        </is>
      </c>
      <c r="G11" t="inlineStr">
        <is>
          <t>HHI=9031 (Highly Concentrated) by NAME_CONTRACT_TYPE</t>
        </is>
      </c>
    </row>
    <row r="12">
      <c r="A12" t="inlineStr">
        <is>
          <t>MP3</t>
        </is>
      </c>
      <c r="B12" t="inlineStr">
        <is>
          <t>01</t>
        </is>
      </c>
      <c r="C12" t="inlineStr">
        <is>
          <t>Problem 1</t>
        </is>
      </c>
      <c r="D12" t="inlineStr">
        <is>
          <t>CART-based decision-tree binning of real PD into data-driven risk tiers, validated by chi-square + Cramer's V + real default-rate monotonicity</t>
        </is>
      </c>
      <c r="E12" t="inlineStr">
        <is>
          <t>STATISTICALLY ROBUST — RECOMMENDED FOR PRODUCTION</t>
        </is>
      </c>
      <c r="F12" t="inlineStr">
        <is>
          <t>10/10 PASS</t>
        </is>
      </c>
      <c r="G12" t="inlineStr">
        <is>
          <t>6 real data-driven risk tiers, real default rate 1.67%-50.59%</t>
        </is>
      </c>
    </row>
    <row r="13">
      <c r="A13" t="inlineStr">
        <is>
          <t>MP3</t>
        </is>
      </c>
      <c r="B13" t="inlineStr">
        <is>
          <t>02</t>
        </is>
      </c>
      <c r="C13" t="inlineStr">
        <is>
          <t>Problem 2</t>
        </is>
      </c>
      <c r="D13" t="inlineStr">
        <is>
          <t>K-means clustering of real credit-bureau behavioral features (overdue balances, credit mix, DPD history)</t>
        </is>
      </c>
      <c r="E13" t="inlineStr">
        <is>
          <t>STATISTICALLY ROBUST — RECOMMENDED FOR PRODUCTION</t>
        </is>
      </c>
      <c r="F13" t="inlineStr">
        <is>
          <t>9/9 PASS</t>
        </is>
      </c>
      <c r="G13" t="inlineStr">
        <is>
          <t>4 real bureau segment segments, real default rate 7.00%-12.37%</t>
        </is>
      </c>
    </row>
    <row r="14">
      <c r="A14" t="inlineStr">
        <is>
          <t>MP3</t>
        </is>
      </c>
      <c r="B14" t="inlineStr">
        <is>
          <t>03</t>
        </is>
      </c>
      <c r="C14" t="inlineStr">
        <is>
          <t>Problem 3</t>
        </is>
      </c>
      <c r="D14" t="inlineStr">
        <is>
          <t>K-means clustering of real instalment-loan repayment-conduct features, real structurally-unbounded features winsorized before clustering</t>
        </is>
      </c>
      <c r="E14" t="inlineStr">
        <is>
          <t>NOT YET STATISTICALLY ROBUST — failed: cramers_v_ci_excludes_zero (a separate, stricter statistical-significance gate, distinct from the structural pipeline integrity checks reported elsewhere in this notebook's output)</t>
        </is>
      </c>
      <c r="F14" t="inlineStr">
        <is>
          <t>9/9 PASS</t>
        </is>
      </c>
      <c r="G14" t="inlineStr">
        <is>
          <t>2 real repayment segment segments, real default rate 5.98%-8.40%</t>
        </is>
      </c>
    </row>
    <row r="15">
      <c r="A15" t="inlineStr">
        <is>
          <t>MP3</t>
        </is>
      </c>
      <c r="B15" t="inlineStr">
        <is>
          <t>04</t>
        </is>
      </c>
      <c r="C15" t="inlineStr">
        <is>
          <t>Problem 4</t>
        </is>
      </c>
      <c r="D15" t="inlineStr">
        <is>
          <t>K-means clustering of real revolving/credit-card utilization features, real structurally-unbounded features winsorized before clustering</t>
        </is>
      </c>
      <c r="E15" t="inlineStr">
        <is>
          <t>STATISTICALLY ROBUST — RECOMMENDED FOR PRODUCTION</t>
        </is>
      </c>
      <c r="F15" t="inlineStr">
        <is>
          <t>9/9 PASS</t>
        </is>
      </c>
      <c r="G15" t="inlineStr">
        <is>
          <t>8 real utilization segment segments, real default rate 5.42%-15.94%</t>
        </is>
      </c>
    </row>
    <row r="16">
      <c r="A16" t="inlineStr">
        <is>
          <t>MP3</t>
        </is>
      </c>
      <c r="B16" t="inlineStr">
        <is>
          <t>05</t>
        </is>
      </c>
      <c r="C16" t="inlineStr">
        <is>
          <t>Problem 5</t>
        </is>
      </c>
      <c r="D16" t="inlineStr">
        <is>
          <t>Real join + aggregation of Problems 1-4's real segment assignments against Mega Project 2's real regulatory capital -- trains no model, reads no raw Home Credit CSV</t>
        </is>
      </c>
      <c r="E16" t="inlineStr">
        <is>
          <t>SYNTHESIS VALIDATED — CAPITAL TRACKS RISK AS EXPECTED</t>
        </is>
      </c>
      <c r="F16" t="inlineStr">
        <is>
          <t>6/6 PASS</t>
        </is>
      </c>
      <c r="G16" t="inlineStr">
        <is>
          <t>Widest real risk differentiation: Risk Tier (48.92% spread across 6 real segments). Real capital-rate monotonicity by Risk Tier: HOLDS.</t>
        </is>
      </c>
    </row>
    <row r="17">
      <c r="A17" t="inlineStr">
        <is>
          <t>MP4</t>
        </is>
      </c>
      <c r="B17" t="inlineStr">
        <is>
          <t>01</t>
        </is>
      </c>
      <c r="C17" t="inlineStr">
        <is>
          <t>Problem 1</t>
        </is>
      </c>
      <c r="D17" t="inlineStr">
        <is>
          <t>4-model-screened supervised classifier (LogisticRegression / DecisionTree / RandomForest / GradientBoosting) on real installment-payment behavior features from installments_payments.csv</t>
        </is>
      </c>
      <c r="E17" t="inlineStr">
        <is>
          <t>STATISTICALLY ROBUST — RECOMMENDED FOR PRODUCTION</t>
        </is>
      </c>
      <c r="F17" t="inlineStr">
        <is>
          <t>N/A</t>
        </is>
      </c>
      <c r="G17" t="inlineStr">
        <is>
          <t>Champion random_forest, real holdout ROC-AUC 0.6032 (95% CI [0.5952, 0.6113]), n_scope=291,643</t>
        </is>
      </c>
    </row>
    <row r="18">
      <c r="A18" t="inlineStr">
        <is>
          <t>MP4</t>
        </is>
      </c>
      <c r="B18" t="inlineStr">
        <is>
          <t>02</t>
        </is>
      </c>
      <c r="C18" t="inlineStr">
        <is>
          <t>Problem 2</t>
        </is>
      </c>
      <c r="D18" t="inlineStr">
        <is>
          <t>Real, unsupervised K-Means clustering (never trained against TARGET) on 7 real payment-streak features from installments_payments.csv</t>
        </is>
      </c>
      <c r="E18" t="inlineStr">
        <is>
          <t>STATISTICALLY ROBUST — RECOMMENDED FOR PRODUCTION</t>
        </is>
      </c>
      <c r="F18" t="inlineStr">
        <is>
          <t>N/A</t>
        </is>
      </c>
      <c r="G18" t="inlineStr">
        <is>
          <t>k=4, real silhouette=0.5181, 4 real payment patterns, n_scope=291,643</t>
        </is>
      </c>
    </row>
    <row r="19">
      <c r="A19" t="inlineStr">
        <is>
          <t>MP4</t>
        </is>
      </c>
      <c r="B19" t="inlineStr">
        <is>
          <t>03</t>
        </is>
      </c>
      <c r="C19" t="inlineStr">
        <is>
          <t>Problem 3</t>
        </is>
      </c>
      <c r="D19" t="inlineStr">
        <is>
          <t>4-model-screened supervised classifier on real utilization-spike, minimum-payment-streak, and drawdown-velocity features from credit_card_balance.csv</t>
        </is>
      </c>
      <c r="E19" t="inlineStr">
        <is>
          <t>STATISTICALLY ROBUST — RECOMMENDED FOR PRODUCTION</t>
        </is>
      </c>
      <c r="F19" t="inlineStr">
        <is>
          <t>N/A</t>
        </is>
      </c>
      <c r="G19" t="inlineStr">
        <is>
          <t>Champion random_forest, real holdout ROC-AUC 0.6570 (95% CI [0.6442, 0.6707]), n_scope=86,905</t>
        </is>
      </c>
    </row>
    <row r="20">
      <c r="A20" t="inlineStr">
        <is>
          <t>MP4</t>
        </is>
      </c>
      <c r="B20" t="inlineStr">
        <is>
          <t>04</t>
        </is>
      </c>
      <c r="C20" t="inlineStr">
        <is>
          <t>Problem 4</t>
        </is>
      </c>
      <c r="D20" t="inlineStr">
        <is>
          <t>4-model-screened supervised classifier on real DPD-spike, DPD-streak, and instalment-progress-velocity features from POS_CASH_balance.csv</t>
        </is>
      </c>
      <c r="E20" t="inlineStr">
        <is>
          <t>STATISTICALLY ROBUST — RECOMMENDED FOR PRODUCTION</t>
        </is>
      </c>
      <c r="F20" t="inlineStr">
        <is>
          <t>N/A</t>
        </is>
      </c>
      <c r="G20" t="inlineStr">
        <is>
          <t>Champion random_forest, real holdout ROC-AUC 0.5809 (95% CI [0.5728, 0.5883]), n_scope=289,444</t>
        </is>
      </c>
    </row>
    <row r="21">
      <c r="A21" t="inlineStr">
        <is>
          <t>MP4</t>
        </is>
      </c>
      <c r="B21" t="inlineStr">
        <is>
          <t>05</t>
        </is>
      </c>
      <c r="C21" t="inlineStr">
        <is>
          <t>Problem 5</t>
        </is>
      </c>
      <c r="D21" t="inlineStr">
        <is>
          <t>Real, disclosed fusion of whichever of Problems 1-4's own real per-applicant scores are present (soft dependencies) -- trains nothing new, reads no raw Home Credit CSV feature table</t>
        </is>
      </c>
      <c r="E21" t="inlineStr">
        <is>
          <t>COMPOSITE RANKING MATERIALLY OUTPERFORMS NAIVE BASELINE</t>
        </is>
      </c>
      <c r="F21" t="inlineStr">
        <is>
          <t>N/A</t>
        </is>
      </c>
      <c r="G21" t="inlineStr">
        <is>
          <t>4/4 real signals combined, composite top-decile lift 2.07x vs. naive lift 1.05x, n_eval=289,444</t>
        </is>
      </c>
    </row>
    <row r="22">
      <c r="A22" t="inlineStr">
        <is>
          <t>MP5</t>
        </is>
      </c>
      <c r="B22" t="inlineStr">
        <is>
          <t>01</t>
        </is>
      </c>
      <c r="C22" t="inlineStr">
        <is>
          <t>Problem 1</t>
        </is>
      </c>
      <c r="D22" t="inlineStr">
        <is>
          <t>N/A (not in MP5's own saved per-problem schema)</t>
        </is>
      </c>
      <c r="E22" t="inlineStr">
        <is>
          <t>N/A (see MP5's own aggregate n_problems_recommended/needs_review)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MP5</t>
        </is>
      </c>
      <c r="B23" t="inlineStr">
        <is>
          <t>02</t>
        </is>
      </c>
      <c r="C23" t="inlineStr">
        <is>
          <t>Problem 2</t>
        </is>
      </c>
      <c r="D23" t="inlineStr">
        <is>
          <t>N/A (not in MP5's own saved per-problem schema)</t>
        </is>
      </c>
      <c r="E23" t="inlineStr">
        <is>
          <t>N/A (see MP5's own aggregate n_problems_recommended/needs_review)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MP5</t>
        </is>
      </c>
      <c r="B24" t="inlineStr">
        <is>
          <t>03</t>
        </is>
      </c>
      <c r="C24" t="inlineStr">
        <is>
          <t>Problem 3</t>
        </is>
      </c>
      <c r="D24" t="inlineStr">
        <is>
          <t>N/A (not in MP5's own saved per-problem schema)</t>
        </is>
      </c>
      <c r="E24" t="inlineStr">
        <is>
          <t>N/A (see MP5's own aggregate n_problems_recommended/needs_review)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MP5</t>
        </is>
      </c>
      <c r="B25" t="inlineStr">
        <is>
          <t>04</t>
        </is>
      </c>
      <c r="C25" t="inlineStr">
        <is>
          <t>Problem 4</t>
        </is>
      </c>
      <c r="D25" t="inlineStr">
        <is>
          <t>N/A (not in MP5's own saved per-problem schema)</t>
        </is>
      </c>
      <c r="E25" t="inlineStr">
        <is>
          <t>N/A (see MP5's own aggregate n_problems_recommended/needs_review)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MP5</t>
        </is>
      </c>
      <c r="B26" t="inlineStr">
        <is>
          <t>05</t>
        </is>
      </c>
      <c r="C26" t="inlineStr">
        <is>
          <t>Problem 5</t>
        </is>
      </c>
      <c r="D26" t="inlineStr">
        <is>
          <t>N/A (not in MP5's own saved per-problem schema)</t>
        </is>
      </c>
      <c r="E26" t="inlineStr">
        <is>
          <t>N/A (see MP5's own aggregate n_problems_recommended/needs_review)</t>
        </is>
      </c>
      <c r="F26" t="inlineStr">
        <is>
          <t>N/A</t>
        </is>
      </c>
      <c r="G26" t="inlineStr">
        <is>
          <t>N/A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s="5" t="inlineStr">
        <is>
          <t>horizon</t>
        </is>
      </c>
      <c r="B1" s="5" t="inlineStr">
        <is>
          <t>months</t>
        </is>
      </c>
      <c r="C1" s="5" t="inlineStr">
        <is>
          <t>cumulative_usd</t>
        </is>
      </c>
    </row>
    <row r="2">
      <c r="A2" t="inlineStr">
        <is>
          <t>1 Month</t>
        </is>
      </c>
      <c r="B2" t="n">
        <v>1</v>
      </c>
      <c r="C2" t="n">
        <v>79291686.13</v>
      </c>
    </row>
    <row r="3">
      <c r="A3" t="inlineStr">
        <is>
          <t>6 Months</t>
        </is>
      </c>
      <c r="B3" t="n">
        <v>6</v>
      </c>
      <c r="C3" t="n">
        <v>475750116.79</v>
      </c>
    </row>
    <row r="4">
      <c r="A4" t="inlineStr">
        <is>
          <t>1 Year</t>
        </is>
      </c>
      <c r="B4" t="n">
        <v>12</v>
      </c>
      <c r="C4" t="n">
        <v>951500233.58</v>
      </c>
    </row>
    <row r="5">
      <c r="A5" t="inlineStr">
        <is>
          <t>2 Years</t>
        </is>
      </c>
      <c r="B5" t="n">
        <v>24</v>
      </c>
      <c r="C5" t="n">
        <v>1903000467.16</v>
      </c>
    </row>
    <row r="6">
      <c r="A6" t="inlineStr">
        <is>
          <t>3 Years</t>
        </is>
      </c>
      <c r="B6" t="n">
        <v>36</v>
      </c>
      <c r="C6" t="n">
        <v>2854500700.74</v>
      </c>
    </row>
    <row r="7">
      <c r="A7" t="inlineStr">
        <is>
          <t>5 Years</t>
        </is>
      </c>
      <c r="B7" t="n">
        <v>60</v>
      </c>
      <c r="C7" t="n">
        <v>4757501167.9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mega_project</t>
        </is>
      </c>
      <c r="B1" s="6" t="inlineStr">
        <is>
          <t>notebook_id</t>
        </is>
      </c>
      <c r="C1" s="6" t="inlineStr">
        <is>
          <t>problem</t>
        </is>
      </c>
      <c r="D1" s="6" t="inlineStr">
        <is>
          <t>kind</t>
        </is>
      </c>
      <c r="E1" s="6" t="inlineStr">
        <is>
          <t>label</t>
        </is>
      </c>
      <c r="F1" s="6" t="inlineStr">
        <is>
          <t>usd</t>
        </is>
      </c>
    </row>
    <row r="2">
      <c r="A2" t="inlineStr">
        <is>
          <t>MP1</t>
        </is>
      </c>
      <c r="B2" t="inlineStr">
        <is>
          <t>01</t>
        </is>
      </c>
      <c r="C2" t="inlineStr">
        <is>
          <t>Problem 1</t>
        </is>
      </c>
      <c r="D2" t="inlineStr">
        <is>
          <t>benefit</t>
        </is>
      </c>
      <c r="E2" t="inlineStr">
        <is>
          <t>Real default losses prevented</t>
        </is>
      </c>
      <c r="F2" t="n">
        <v>33300864</v>
      </c>
    </row>
    <row r="3">
      <c r="A3" t="inlineStr">
        <is>
          <t>MP1</t>
        </is>
      </c>
      <c r="B3" t="inlineStr">
        <is>
          <t>02</t>
        </is>
      </c>
      <c r="C3" t="inlineStr">
        <is>
          <t>Problem 2</t>
        </is>
      </c>
      <c r="D3" t="inlineStr">
        <is>
          <t>benefit</t>
        </is>
      </c>
      <c r="E3" t="inlineStr">
        <is>
          <t>Manual review cost avoided</t>
        </is>
      </c>
      <c r="F3" t="n">
        <v>3198275</v>
      </c>
    </row>
    <row r="4">
      <c r="A4" t="inlineStr">
        <is>
          <t>MP1</t>
        </is>
      </c>
      <c r="B4" t="inlineStr">
        <is>
          <t>03</t>
        </is>
      </c>
      <c r="C4" t="inlineStr">
        <is>
          <t>Problem 3</t>
        </is>
      </c>
      <c r="D4" t="inlineStr">
        <is>
          <t>benefit</t>
        </is>
      </c>
      <c r="E4" t="inlineStr">
        <is>
          <t>Manual credit-scoring cost avoided</t>
        </is>
      </c>
      <c r="F4" t="n">
        <v>922533</v>
      </c>
    </row>
    <row r="5">
      <c r="A5" t="inlineStr">
        <is>
          <t>MP1</t>
        </is>
      </c>
      <c r="B5" t="inlineStr">
        <is>
          <t>04</t>
        </is>
      </c>
      <c r="C5" t="inlineStr">
        <is>
          <t>Problem 4</t>
        </is>
      </c>
      <c r="D5" t="inlineStr">
        <is>
          <t>cost_context</t>
        </is>
      </c>
      <c r="E5" t="inlineStr">
        <is>
          <t>Recommended investment: enhanced manual review for the weakest repayment-capacity tier (a proactive spend this analysis recommends, not a savings it produced)</t>
        </is>
      </c>
      <c r="F5" t="n">
        <v>922500</v>
      </c>
    </row>
    <row r="6">
      <c r="A6" t="inlineStr">
        <is>
          <t>MP1</t>
        </is>
      </c>
      <c r="B6" t="inlineStr">
        <is>
          <t>05</t>
        </is>
      </c>
      <c r="C6" t="inlineStr">
        <is>
          <t>Problem 5</t>
        </is>
      </c>
      <c r="D6" t="inlineStr">
        <is>
          <t>cost_context</t>
        </is>
      </c>
      <c r="E6" t="inlineStr">
        <is>
          <t>Existing real operational cost of processing historical refused applications (informational context on today's process, not a cost this notebook avoided)</t>
        </is>
      </c>
      <c r="F6" t="n">
        <v>2906780</v>
      </c>
    </row>
    <row r="7">
      <c r="A7" t="inlineStr">
        <is>
          <t>MP2</t>
        </is>
      </c>
      <c r="B7" t="inlineStr">
        <is>
          <t>01</t>
        </is>
      </c>
      <c r="C7" t="inlineStr">
        <is>
          <t>Problem 1</t>
        </is>
      </c>
      <c r="D7" t="inlineStr">
        <is>
          <t>benefit</t>
        </is>
      </c>
      <c r="E7" t="inlineStr">
        <is>
          <t>Avoided cost of manual/spreadsheet Basel capital-requirement calculation</t>
        </is>
      </c>
      <c r="F7" t="n">
        <v>615022</v>
      </c>
    </row>
    <row r="8">
      <c r="A8" t="inlineStr">
        <is>
          <t>MP2</t>
        </is>
      </c>
      <c r="B8" t="inlineStr">
        <is>
          <t>02</t>
        </is>
      </c>
      <c r="C8" t="inlineStr">
        <is>
          <t>Problem 2</t>
        </is>
      </c>
      <c r="D8" t="inlineStr">
        <is>
          <t>benefit</t>
        </is>
      </c>
      <c r="E8" t="inlineStr">
        <is>
          <t>Avoided cost of manual segment-level RWA / Pillar-3 analytics</t>
        </is>
      </c>
      <c r="F8" t="n">
        <v>307511</v>
      </c>
    </row>
    <row r="9">
      <c r="A9" t="inlineStr">
        <is>
          <t>MP2</t>
        </is>
      </c>
      <c r="B9" t="inlineStr">
        <is>
          <t>03</t>
        </is>
      </c>
      <c r="C9" t="inlineStr">
        <is>
          <t>Problem 3</t>
        </is>
      </c>
      <c r="D9" t="inlineStr">
        <is>
          <t>benefit</t>
        </is>
      </c>
      <c r="E9" t="inlineStr">
        <is>
          <t>Avoided cost of periodic independent economic-capital (Monte Carlo) validation</t>
        </is>
      </c>
      <c r="F9" t="n">
        <v>153755.5</v>
      </c>
    </row>
    <row r="10">
      <c r="A10" t="inlineStr">
        <is>
          <t>MP2</t>
        </is>
      </c>
      <c r="B10" t="inlineStr">
        <is>
          <t>04</t>
        </is>
      </c>
      <c r="C10" t="inlineStr">
        <is>
          <t>Problem 4</t>
        </is>
      </c>
      <c r="D10" t="inlineStr">
        <is>
          <t>cost_context</t>
        </is>
      </c>
      <c r="E10" t="inlineStr">
        <is>
          <t>Real incremental capital required under Severely Adverse stress vs. Baseline (informational risk quantification, not a savings this notebook produced)</t>
        </is>
      </c>
      <c r="F10" t="n">
        <v>10779138657.86</v>
      </c>
    </row>
    <row r="11">
      <c r="A11" t="inlineStr">
        <is>
          <t>MP2</t>
        </is>
      </c>
      <c r="B11" t="inlineStr">
        <is>
          <t>05</t>
        </is>
      </c>
      <c r="C11" t="inlineStr">
        <is>
          <t>Problem 5</t>
        </is>
      </c>
      <c r="D11" t="inlineStr">
        <is>
          <t>cost_context</t>
        </is>
      </c>
      <c r="E11" t="inlineStr">
        <is>
          <t>Real capital exposure in the single most concentrated real dimension (NAME_CONTRACT_TYPE) -- informational, flags Pillar 2 concentration risk, not a savings</t>
        </is>
      </c>
      <c r="F11" t="n">
        <v>9756908312.959999</v>
      </c>
    </row>
    <row r="12">
      <c r="A12" t="inlineStr">
        <is>
          <t>MP3</t>
        </is>
      </c>
      <c r="B12" t="inlineStr">
        <is>
          <t>01</t>
        </is>
      </c>
      <c r="C12" t="inlineStr">
        <is>
          <t>Problem 1</t>
        </is>
      </c>
      <c r="D12" t="inlineStr">
        <is>
          <t>benefit</t>
        </is>
      </c>
      <c r="E12" t="inlineStr">
        <is>
          <t>Avoided cost of manual/ad-hoc risk-tier construction</t>
        </is>
      </c>
      <c r="F12" t="n">
        <v>461266.5</v>
      </c>
    </row>
    <row r="13">
      <c r="A13" t="inlineStr">
        <is>
          <t>MP3</t>
        </is>
      </c>
      <c r="B13" t="inlineStr">
        <is>
          <t>02</t>
        </is>
      </c>
      <c r="C13" t="inlineStr">
        <is>
          <t>Problem 2</t>
        </is>
      </c>
      <c r="D13" t="inlineStr">
        <is>
          <t>benefit</t>
        </is>
      </c>
      <c r="E13" t="inlineStr">
        <is>
          <t>Avoided cost of manual credit-bureau file review</t>
        </is>
      </c>
      <c r="F13" t="n">
        <v>526982</v>
      </c>
    </row>
    <row r="14">
      <c r="A14" t="inlineStr">
        <is>
          <t>MP3</t>
        </is>
      </c>
      <c r="B14" t="inlineStr">
        <is>
          <t>03</t>
        </is>
      </c>
      <c r="C14" t="inlineStr">
        <is>
          <t>Problem 3</t>
        </is>
      </c>
      <c r="D14" t="inlineStr">
        <is>
          <t>benefit</t>
        </is>
      </c>
      <c r="E14" t="inlineStr">
        <is>
          <t>Illustrative avoided loss from real repayment segment differentiation (4,070 real applicants in the highest-default segment x 2.42% real default-rate spread x $269,562 real avg loss-per-default x 10% realization assumption)</t>
        </is>
      </c>
      <c r="F14" t="n">
        <v>2657608.6</v>
      </c>
    </row>
    <row r="15">
      <c r="A15" t="inlineStr">
        <is>
          <t>MP3</t>
        </is>
      </c>
      <c r="B15" t="inlineStr">
        <is>
          <t>04</t>
        </is>
      </c>
      <c r="C15" t="inlineStr">
        <is>
          <t>Problem 4</t>
        </is>
      </c>
      <c r="D15" t="inlineStr">
        <is>
          <t>benefit</t>
        </is>
      </c>
      <c r="E15" t="inlineStr">
        <is>
          <t>Illustrative avoided loss from real utilization segment differentiation (17,345 real applicants in the highest-default segment x 10.51% real default-rate spread x $269,562 real avg loss-per-default x 10% realization assumption)</t>
        </is>
      </c>
      <c r="F15" t="n">
        <v>49157498.93</v>
      </c>
    </row>
    <row r="16">
      <c r="A16" t="inlineStr">
        <is>
          <t>MP3</t>
        </is>
      </c>
      <c r="B16" t="inlineStr">
        <is>
          <t>05</t>
        </is>
      </c>
      <c r="C16" t="inlineStr">
        <is>
          <t>Problem 5</t>
        </is>
      </c>
      <c r="D16" t="inlineStr">
        <is>
          <t>cost_context</t>
        </is>
      </c>
      <c r="E16" t="inlineStr">
        <is>
          <t>Real capital exposure in the highest-default segment of this suite's widest-differentiating real axis (Risk Tier) -- informational, flags where real risk and real capital concentrate together, not a savings</t>
        </is>
      </c>
      <c r="F16" t="n">
        <v>395088438.98</v>
      </c>
    </row>
    <row r="17">
      <c r="A17" t="inlineStr">
        <is>
          <t>MP4</t>
        </is>
      </c>
      <c r="B17" t="inlineStr">
        <is>
          <t>01</t>
        </is>
      </c>
      <c r="C17" t="inlineStr">
        <is>
          <t>Problem 1</t>
        </is>
      </c>
      <c r="D17" t="inlineStr">
        <is>
          <t>benefit</t>
        </is>
      </c>
      <c r="E17" t="inlineStr">
        <is>
          <t>Illustrative avoided loss from real captured defaults (11,824 real defaults captured = 49.5% real recall x 291,643 real scope x 8.19% real default rate, x $269,562 real avg loss-per-default x 10% realization assumption)</t>
        </is>
      </c>
      <c r="F17" t="n">
        <v>318729753.92</v>
      </c>
    </row>
    <row r="18">
      <c r="A18" t="inlineStr">
        <is>
          <t>MP4</t>
        </is>
      </c>
      <c r="B18" t="inlineStr">
        <is>
          <t>03</t>
        </is>
      </c>
      <c r="C18" t="inlineStr">
        <is>
          <t>Problem 3</t>
        </is>
      </c>
      <c r="D18" t="inlineStr">
        <is>
          <t>benefit</t>
        </is>
      </c>
      <c r="E18" t="inlineStr">
        <is>
          <t>Illustrative avoided loss from real captured defaults (3,799 real defaults captured = 50.4% real recall x 86,905 real scope x 8.67% real default rate, x $269,562 real avg loss-per-default x 10% realization assumption)</t>
        </is>
      </c>
      <c r="F18" t="n">
        <v>102406260.85</v>
      </c>
    </row>
    <row r="19">
      <c r="A19" t="inlineStr">
        <is>
          <t>MP4</t>
        </is>
      </c>
      <c r="B19" t="inlineStr">
        <is>
          <t>04</t>
        </is>
      </c>
      <c r="C19" t="inlineStr">
        <is>
          <t>Problem 4</t>
        </is>
      </c>
      <c r="D19" t="inlineStr">
        <is>
          <t>benefit</t>
        </is>
      </c>
      <c r="E19" t="inlineStr">
        <is>
          <t>Illustrative avoided loss from real captured defaults (12,777 real defaults captured = 54.1% real recall x 289,444 real scope x 8.16% real default rate, x $269,562 real avg loss-per-default x 10% realization assumption)</t>
        </is>
      </c>
      <c r="F19" t="n">
        <v>344406608.28</v>
      </c>
    </row>
    <row r="20">
      <c r="A20" t="inlineStr">
        <is>
          <t>MP4</t>
        </is>
      </c>
      <c r="B20" t="inlineStr">
        <is>
          <t>02</t>
        </is>
      </c>
      <c r="C20" t="inlineStr">
        <is>
          <t>Problem 2</t>
        </is>
      </c>
      <c r="D20" t="inlineStr">
        <is>
          <t>benefit</t>
        </is>
      </c>
      <c r="E20" t="inlineStr">
        <is>
          <t>Illustrative avoided loss from real payment-pattern differentiation (14,118 real applicants in the highest-default pattern x 7.76% real default-rate spread x $269,562 real avg loss-per-default x 10% realization assumption)</t>
        </is>
      </c>
      <c r="F20" t="n">
        <v>29514074.35</v>
      </c>
    </row>
    <row r="21">
      <c r="A21" t="inlineStr">
        <is>
          <t>MP4</t>
        </is>
      </c>
      <c r="B21" t="inlineStr">
        <is>
          <t>05</t>
        </is>
      </c>
      <c r="C21" t="inlineStr">
        <is>
          <t>Problem 5</t>
        </is>
      </c>
      <c r="D21" t="inlineStr">
        <is>
          <t>benefit</t>
        </is>
      </c>
      <c r="E21" t="inlineStr">
        <is>
          <t>Illustrative avoided loss from composite ranking's real incremental top-decile capture over the naive baseline (2,404.0 real incremental defaults = 28,944 real top-decile applicants x 8.31% real rate delta, x $269,562 real avg loss-per-default x 10% realization assumption)</t>
        </is>
      </c>
      <c r="F21" t="n">
        <v>64802632.65</v>
      </c>
    </row>
    <row r="22">
      <c r="A22" t="inlineStr">
        <is>
          <t>MP5</t>
        </is>
      </c>
      <c r="B22" t="inlineStr">
        <is>
          <t>01</t>
        </is>
      </c>
      <c r="C22" t="inlineStr">
        <is>
          <t>Problem 1</t>
        </is>
      </c>
      <c r="D22" t="inlineStr">
        <is>
          <t>benefit</t>
        </is>
      </c>
      <c r="E22" t="inlineStr">
        <is>
          <t>Illustrative avoided manual cashflow-reconciliation cost (339,587 real applicants x $1.00 disclosed per-applicant assumption)</t>
        </is>
      </c>
      <c r="F22" t="n">
        <v>339587</v>
      </c>
    </row>
    <row r="23">
      <c r="A23" t="inlineStr">
        <is>
          <t>MP5</t>
        </is>
      </c>
      <c r="B23" t="inlineStr">
        <is>
          <t>02</t>
        </is>
      </c>
      <c r="C23" t="inlineStr">
        <is>
          <t>Problem 2</t>
        </is>
      </c>
      <c r="D23" t="inlineStr">
        <is>
          <t>cost_context</t>
        </is>
      </c>
      <c r="E23" t="inlineStr">
        <is>
          <t>Real 90-day Cash-Flow-at-Risk (5th pct) -- the real dollar amount of stressed collections exposure this problem quantifies, not a savings (informational)</t>
        </is>
      </c>
      <c r="F23" t="n">
        <v>14324059697.74</v>
      </c>
    </row>
    <row r="24">
      <c r="A24" t="inlineStr">
        <is>
          <t>MP5</t>
        </is>
      </c>
      <c r="B24" t="inlineStr">
        <is>
          <t>03</t>
        </is>
      </c>
      <c r="C24" t="inlineStr">
        <is>
          <t>Problem 3</t>
        </is>
      </c>
      <c r="D24" t="inlineStr">
        <is>
          <t>cost_context</t>
        </is>
      </c>
      <c r="E24" t="inlineStr">
        <is>
          <t>Real 90-day RLCP verdict is PASS on this run -- no coverage shortfall (informational, $0)</t>
        </is>
      </c>
      <c r="F24" t="n">
        <v>0</v>
      </c>
    </row>
    <row r="25">
      <c r="A25" t="inlineStr">
        <is>
          <t>MP5</t>
        </is>
      </c>
      <c r="B25" t="inlineStr">
        <is>
          <t>04</t>
        </is>
      </c>
      <c r="C25" t="inlineStr">
        <is>
          <t>Problem 4</t>
        </is>
      </c>
      <c r="D25" t="inlineStr">
        <is>
          <t>cost_context</t>
        </is>
      </c>
      <c r="E25" t="inlineStr">
        <is>
          <t>Not monetized: this problem's real effect is on interest revenue/margin from prepayment/early-repayment behavior, which requires the firm's own actual interest-rate and margin data -- absent from this Kaggle extract. Disclosed as $0 rather than fabricated (informational).</t>
        </is>
      </c>
      <c r="F25" t="n">
        <v>0</v>
      </c>
    </row>
    <row r="26">
      <c r="A26" t="inlineStr">
        <is>
          <t>MP5</t>
        </is>
      </c>
      <c r="B26" t="inlineStr">
        <is>
          <t>05</t>
        </is>
      </c>
      <c r="C26" t="inlineStr">
        <is>
          <t>Problem 5</t>
        </is>
      </c>
      <c r="D26" t="inlineStr">
        <is>
          <t>cost_context</t>
        </is>
      </c>
      <c r="E26" t="inlineStr">
        <is>
          <t>Real Severely Adverse 90-day required-coverage shortfall, derived from Notebook 05's own two real saved fields (required coverage = $12,817,989,832.02 ($12.82B) stressed collections / 0.9847 real coverage ratio = $13,017,783,210.86 ($13.02B); gap = $199,793,378.83 ($199.8M)) -- a real risk gap under macro stress, not a savings (informational)</t>
        </is>
      </c>
      <c r="F26" t="n">
        <v>199793378.83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7" t="inlineStr">
        <is>
          <t>Check</t>
        </is>
      </c>
      <c r="B1" s="7" t="inlineStr">
        <is>
          <t>Result</t>
        </is>
      </c>
      <c r="C1" s="7" t="inlineStr">
        <is>
          <t>Detail</t>
        </is>
      </c>
    </row>
    <row r="2">
      <c r="A2" t="inlineStr">
        <is>
          <t>suite_annual_benefit_matches_sum_of_each_mp_1yr_roi_entry</t>
        </is>
      </c>
      <c r="B2" t="inlineStr">
        <is>
          <t>PASS</t>
        </is>
      </c>
      <c r="C2" t="inlineStr">
        <is>
          <t>Suite total annual benefit run-rate summed directly from each Mega Project's own total_annual_benefit_usd field ($951,500,233.58) vs. independently recomputed by summing each Mega Project's own '1 Year' ROI-timeline entry instead ($951,500,233.58) -- MATCH.</t>
        </is>
      </c>
    </row>
    <row r="3">
      <c r="A3" t="inlineStr">
        <is>
          <t>suite_roi_timeline_cumulative_benefit_non_decreasing</t>
        </is>
      </c>
      <c r="B3" t="inlineStr">
        <is>
          <t>PASS</t>
        </is>
      </c>
      <c r="C3" t="inlineStr">
        <is>
          <t>This rollup's own suite-wide cumulative illustrative-benefit timeline must never decrease horizon to horizon (every constituent Mega Project's own timeline is flat-rate and non-decreasing, so their sum must be too) -- MATCH.</t>
        </is>
      </c>
    </row>
    <row r="4">
      <c r="A4" t="inlineStr">
        <is>
          <t>suite_problem_counts_sum_correctly</t>
        </is>
      </c>
      <c r="B4" t="inlineStr">
        <is>
          <t>PASS</t>
        </is>
      </c>
      <c r="C4" t="inlineStr">
        <is>
          <t>Real total problems available across all Mega Projects this run: 25; real total recommended for production: 24 -- internally consistent.</t>
        </is>
      </c>
    </row>
    <row r="5">
      <c r="A5" t="inlineStr">
        <is>
          <t>suite_financial_row_count_matches_problem_count</t>
        </is>
      </c>
      <c r="B5" t="inlineStr">
        <is>
          <t>PASS</t>
        </is>
      </c>
      <c r="C5" t="inlineStr">
        <is>
          <t>Real total per-problem financial rows collected across the suite: 25 (16 benefit, 9 cost_context) -- plausible.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8" t="inlineStr">
        <is>
          <t>Mega Project</t>
        </is>
      </c>
      <c r="B1" s="8" t="inlineStr">
        <is>
          <t>Check</t>
        </is>
      </c>
      <c r="C1" s="8" t="inlineStr">
        <is>
          <t>Result</t>
        </is>
      </c>
      <c r="D1" s="8" t="inlineStr">
        <is>
          <t>Detail</t>
        </is>
      </c>
    </row>
    <row r="2">
      <c r="A2" t="inlineStr">
        <is>
          <t>MP2</t>
        </is>
      </c>
      <c r="B2" t="inlineStr">
        <is>
          <t>notebook_01_capital_matches_notebook_04_baseline</t>
        </is>
      </c>
      <c r="C2" t="inlineStr">
        <is>
          <t>PASS</t>
        </is>
      </c>
      <c r="D2" t="inlineStr">
        <is>
          <t>Real value 0.0000% relative difference across the notebooks compared -- within tolerance.</t>
        </is>
      </c>
    </row>
    <row r="3">
      <c r="A3" t="inlineStr">
        <is>
          <t>MP2</t>
        </is>
      </c>
      <c r="B3" t="inlineStr">
        <is>
          <t>notebook_01_capital_matches_notebook_03_closed_form_reference</t>
        </is>
      </c>
      <c r="C3" t="inlineStr">
        <is>
          <t>PASS</t>
        </is>
      </c>
      <c r="D3" t="inlineStr">
        <is>
          <t>Real value 0.0000% relative difference across the notebooks compared -- within tolerance.</t>
        </is>
      </c>
    </row>
    <row r="4">
      <c r="A4" t="inlineStr">
        <is>
          <t>MP3</t>
        </is>
      </c>
      <c r="B4" t="inlineStr">
        <is>
          <t>n_applicants_identical_across_all_available_notebooks</t>
        </is>
      </c>
      <c r="C4" t="inlineStr">
        <is>
          <t>PASS</t>
        </is>
      </c>
      <c r="D4" t="inlineStr">
        <is>
          <t>Real values by notebook: {'01': 307511, '02': 307511, '03': 307511, '04': 307511, '05': 307511}.</t>
        </is>
      </c>
    </row>
    <row r="5">
      <c r="A5" t="inlineStr">
        <is>
          <t>MP3</t>
        </is>
      </c>
      <c r="B5" t="inlineStr">
        <is>
          <t>notebook_01_default_rate_matches_notebook_05_synthesis_for_risk_tier</t>
        </is>
      </c>
      <c r="C5" t="inlineStr">
        <is>
          <t>PASS</t>
        </is>
      </c>
      <c r="D5" t="inlineStr">
        <is>
          <t>{"n_segments_compared": 6, "max_absolute_difference": 0.0}</t>
        </is>
      </c>
    </row>
    <row r="6">
      <c r="A6" t="inlineStr">
        <is>
          <t>MP3</t>
        </is>
      </c>
      <c r="B6" t="inlineStr">
        <is>
          <t>notebook_02_default_rate_matches_notebook_05_synthesis_for_bureau_segment</t>
        </is>
      </c>
      <c r="C6" t="inlineStr">
        <is>
          <t>PASS</t>
        </is>
      </c>
      <c r="D6" t="inlineStr">
        <is>
          <t>{"n_segments_compared": 5, "max_absolute_difference": 0.0}</t>
        </is>
      </c>
    </row>
    <row r="7">
      <c r="A7" t="inlineStr">
        <is>
          <t>MP3</t>
        </is>
      </c>
      <c r="B7" t="inlineStr">
        <is>
          <t>notebook_03_default_rate_matches_notebook_05_synthesis_for_repayment_segment</t>
        </is>
      </c>
      <c r="C7" t="inlineStr">
        <is>
          <t>PASS</t>
        </is>
      </c>
      <c r="D7" t="inlineStr">
        <is>
          <t>{"n_segments_compared": 3, "max_absolute_difference": 0.0}</t>
        </is>
      </c>
    </row>
    <row r="8">
      <c r="A8" t="inlineStr">
        <is>
          <t>MP3</t>
        </is>
      </c>
      <c r="B8" t="inlineStr">
        <is>
          <t>notebook_04_default_rate_matches_notebook_05_synthesis_for_utilization_segment</t>
        </is>
      </c>
      <c r="C8" t="inlineStr">
        <is>
          <t>PASS</t>
        </is>
      </c>
      <c r="D8" t="inlineStr">
        <is>
          <t>{"n_segments_compared": 9, "max_absolute_difference": 0.0}</t>
        </is>
      </c>
    </row>
    <row r="9">
      <c r="A9" t="inlineStr">
        <is>
          <t>MP4</t>
        </is>
      </c>
      <c r="B9" t="inlineStr">
        <is>
          <t>n_app_total_identical_across_available_notebooks_01_02_03_04</t>
        </is>
      </c>
      <c r="C9" t="inlineStr">
        <is>
          <t>PASS</t>
        </is>
      </c>
      <c r="D9" t="inlineStr">
        <is>
          <t>Real values by notebook: {'01': 307511, '02': 307511, '03': 307511, '04': 307511}.</t>
        </is>
      </c>
    </row>
    <row r="10">
      <c r="A10" t="inlineStr">
        <is>
          <t>MP4</t>
        </is>
      </c>
      <c r="B10" t="inlineStr">
        <is>
          <t>nb05_signal_availability_matches_notebook_01_summary_presence_(nb01_installment_behavior)</t>
        </is>
      </c>
      <c r="C10" t="inlineStr">
        <is>
          <t>PASS</t>
        </is>
      </c>
      <c r="D10" t="inlineStr">
        <is>
          <t>{"nb05_reported_available": true, "notebook_summary_actually_present": true}</t>
        </is>
      </c>
    </row>
    <row r="11">
      <c r="A11" t="inlineStr">
        <is>
          <t>MP4</t>
        </is>
      </c>
      <c r="B11" t="inlineStr">
        <is>
          <t>nb05_signal_availability_matches_notebook_02_summary_presence_(nb02_payment_pattern)</t>
        </is>
      </c>
      <c r="C11" t="inlineStr">
        <is>
          <t>PASS</t>
        </is>
      </c>
      <c r="D11" t="inlineStr">
        <is>
          <t>{"nb05_reported_available": true, "notebook_summary_actually_present": true}</t>
        </is>
      </c>
    </row>
    <row r="12">
      <c r="A12" t="inlineStr">
        <is>
          <t>MP4</t>
        </is>
      </c>
      <c r="B12" t="inlineStr">
        <is>
          <t>nb05_signal_availability_matches_notebook_03_summary_presence_(nb03_revolving_distress)</t>
        </is>
      </c>
      <c r="C12" t="inlineStr">
        <is>
          <t>PASS</t>
        </is>
      </c>
      <c r="D12" t="inlineStr">
        <is>
          <t>{"nb05_reported_available": true, "notebook_summary_actually_present": true}</t>
        </is>
      </c>
    </row>
    <row r="13">
      <c r="A13" t="inlineStr">
        <is>
          <t>MP4</t>
        </is>
      </c>
      <c r="B13" t="inlineStr">
        <is>
          <t>nb05_signal_availability_matches_notebook_04_summary_presence_(nb04_pos_cash_trajectory)</t>
        </is>
      </c>
      <c r="C13" t="inlineStr">
        <is>
          <t>PASS</t>
        </is>
      </c>
      <c r="D13" t="inlineStr">
        <is>
          <t>{"nb05_reported_available": true, "notebook_summary_actually_present": true}</t>
        </is>
      </c>
    </row>
    <row r="14">
      <c r="A14" t="inlineStr">
        <is>
          <t>MP5</t>
        </is>
      </c>
      <c r="B14" t="inlineStr">
        <is>
          <t>nb02_nb03_90d_cfar_identity</t>
        </is>
      </c>
      <c r="C14" t="inlineStr">
        <is>
          <t>PASS</t>
        </is>
      </c>
      <c r="D14" t="inlineStr">
        <is>
          <t>Real cross-notebook consistency check (see Mega Project 5's own Notebook 06 for the full detail).</t>
        </is>
      </c>
    </row>
    <row r="15">
      <c r="A15" t="inlineStr">
        <is>
          <t>MP5</t>
        </is>
      </c>
      <c r="B15" t="inlineStr">
        <is>
          <t>nb02_nb05_relative_diff_recomputation_consistency</t>
        </is>
      </c>
      <c r="C15" t="inlineStr">
        <is>
          <t>PASS</t>
        </is>
      </c>
      <c r="D15" t="inlineStr">
        <is>
          <t>Real cross-notebook consistency check (see Mega Project 5's own Notebook 06 for the full detail).</t>
        </is>
      </c>
    </row>
    <row r="16">
      <c r="A16" t="inlineStr">
        <is>
          <t>MP5</t>
        </is>
      </c>
      <c r="B16" t="inlineStr">
        <is>
          <t>nb01_nb05_collection_rate_reasonableness</t>
        </is>
      </c>
      <c r="C16" t="inlineStr">
        <is>
          <t>PASS</t>
        </is>
      </c>
      <c r="D16" t="inlineStr">
        <is>
          <t>Real cross-notebook consistency check (see Mega Project 5's own Notebook 06 for the full detail).</t>
        </is>
      </c>
    </row>
    <row r="17">
      <c r="A17" t="inlineStr">
        <is>
          <t>MP5</t>
        </is>
      </c>
      <c r="B17" t="inlineStr">
        <is>
          <t>roi_timeline_cumulative_benefit_non_decreasing</t>
        </is>
      </c>
      <c r="C17" t="inlineStr">
        <is>
          <t>PASS</t>
        </is>
      </c>
      <c r="D17" t="inlineStr">
        <is>
          <t>Real cross-notebook consistency check (see Mega Project 5's own Notebook 06 for the full detail).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9" t="inlineStr">
        <is>
          <t>Mega Project</t>
        </is>
      </c>
      <c r="B1" s="9" t="inlineStr">
        <is>
          <t>Field</t>
        </is>
      </c>
      <c r="C1" s="9" t="inlineStr">
        <is>
          <t>Real Value</t>
        </is>
      </c>
    </row>
    <row r="2">
      <c r="A2" t="inlineStr">
        <is>
          <t>MP2</t>
        </is>
      </c>
      <c r="B2" t="inlineStr">
        <is>
          <t>n_applicants</t>
        </is>
      </c>
      <c r="C2" t="n">
        <v>307511</v>
      </c>
    </row>
    <row r="3">
      <c r="A3" t="inlineStr">
        <is>
          <t>MP2</t>
        </is>
      </c>
      <c r="B3" t="inlineStr">
        <is>
          <t>total_ead_usd</t>
        </is>
      </c>
      <c r="C3" t="n">
        <v>184207084195.5</v>
      </c>
    </row>
    <row r="4">
      <c r="A4" t="inlineStr">
        <is>
          <t>MP2</t>
        </is>
      </c>
      <c r="B4" t="inlineStr">
        <is>
          <t>total_rwa_usd</t>
        </is>
      </c>
      <c r="C4" t="n">
        <v>121961353911.9556</v>
      </c>
    </row>
    <row r="5">
      <c r="A5" t="inlineStr">
        <is>
          <t>MP2</t>
        </is>
      </c>
      <c r="B5" t="inlineStr">
        <is>
          <t>baseline_capital_usd</t>
        </is>
      </c>
      <c r="C5" t="n">
        <v>9756908312.956444</v>
      </c>
    </row>
    <row r="6">
      <c r="A6" t="inlineStr">
        <is>
          <t>MP2</t>
        </is>
      </c>
      <c r="B6" t="inlineStr">
        <is>
          <t>baseline_el_usd</t>
        </is>
      </c>
      <c r="C6" t="n">
        <v>3917645732.584665</v>
      </c>
    </row>
    <row r="7">
      <c r="A7" t="inlineStr">
        <is>
          <t>MP2</t>
        </is>
      </c>
      <c r="B7" t="inlineStr">
        <is>
          <t>rwa_density</t>
        </is>
      </c>
      <c r="C7" t="n">
        <v>0.6620882928830103</v>
      </c>
    </row>
    <row r="8">
      <c r="A8" t="inlineStr">
        <is>
          <t>MP3</t>
        </is>
      </c>
      <c r="B8" t="inlineStr">
        <is>
          <t>n_applicants</t>
        </is>
      </c>
      <c r="C8" t="n">
        <v>307511</v>
      </c>
    </row>
    <row r="9">
      <c r="A9" t="inlineStr">
        <is>
          <t>MP4</t>
        </is>
      </c>
      <c r="B9" t="inlineStr">
        <is>
          <t>n_app_total</t>
        </is>
      </c>
      <c r="C9" t="n">
        <v>307511</v>
      </c>
    </row>
    <row r="10">
      <c r="A10" t="inlineStr">
        <is>
          <t>MP4</t>
        </is>
      </c>
      <c r="B10" t="inlineStr">
        <is>
          <t>source_notebook</t>
        </is>
      </c>
      <c r="C10" t="inlineStr">
        <is>
          <t>01</t>
        </is>
      </c>
    </row>
    <row r="11">
      <c r="A11" t="inlineStr">
        <is>
          <t>MP5</t>
        </is>
      </c>
      <c r="B11" t="inlineStr">
        <is>
          <t>n_applicants</t>
        </is>
      </c>
      <c r="C11" t="n">
        <v>339587</v>
      </c>
    </row>
    <row r="12">
      <c r="A12" t="inlineStr">
        <is>
          <t>MP5</t>
        </is>
      </c>
      <c r="B12" t="inlineStr">
        <is>
          <t>collection_rate</t>
        </is>
      </c>
      <c r="C12" t="n">
        <v>1.010769842757503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0" t="inlineStr">
        <is>
          <t>Lens</t>
        </is>
      </c>
      <c r="B1" s="10" t="inlineStr">
        <is>
          <t>Real Capital USD</t>
        </is>
      </c>
    </row>
    <row r="2">
      <c r="A2" t="inlineStr">
        <is>
          <t>Pillar-1 Baseline (Notebook 01)</t>
        </is>
      </c>
      <c r="B2" t="n">
        <v>9756908312.956444</v>
      </c>
    </row>
    <row r="3">
      <c r="A3" t="inlineStr">
        <is>
          <t>99.9% Economic Capital — Monte Carlo (Notebook 03)</t>
        </is>
      </c>
      <c r="B3" t="n">
        <v>9915102033.659016</v>
      </c>
    </row>
    <row r="4">
      <c r="A4" t="inlineStr">
        <is>
          <t>Adverse Stress (Notebook 04)</t>
        </is>
      </c>
      <c r="B4" t="n">
        <v>13811041323.20481</v>
      </c>
    </row>
    <row r="5">
      <c r="A5" t="inlineStr">
        <is>
          <t>Severely Adverse Stress (Notebook 04)</t>
        </is>
      </c>
      <c r="B5" t="n">
        <v>20536046970.81691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0" customWidth="1" min="5" max="5"/>
    <col width="15" customWidth="1" min="6" max="6"/>
  </cols>
  <sheetData>
    <row r="1">
      <c r="A1" s="3" t="inlineStr">
        <is>
          <t>Notebook</t>
        </is>
      </c>
      <c r="B1" s="3" t="inlineStr">
        <is>
          <t>Axis</t>
        </is>
      </c>
      <c r="C1" s="3" t="inlineStr">
        <is>
          <t>N Segments</t>
        </is>
      </c>
      <c r="D1" s="3" t="inlineStr">
        <is>
          <t>Default Rate Min</t>
        </is>
      </c>
      <c r="E1" s="3" t="inlineStr">
        <is>
          <t>Default Rate Max</t>
        </is>
      </c>
      <c r="F1" s="3" t="inlineStr">
        <is>
          <t>Real Spread</t>
        </is>
      </c>
    </row>
    <row r="2">
      <c r="A2" t="inlineStr">
        <is>
          <t>01</t>
        </is>
      </c>
      <c r="B2" t="inlineStr">
        <is>
          <t>Risk Tier</t>
        </is>
      </c>
      <c r="C2" t="n">
        <v>6</v>
      </c>
      <c r="D2" t="n">
        <v>0.01672984015583575</v>
      </c>
      <c r="E2" t="n">
        <v>0.5059078590785908</v>
      </c>
      <c r="F2" t="n">
        <v>0.4891780189227551</v>
      </c>
    </row>
    <row r="3">
      <c r="A3" t="inlineStr">
        <is>
          <t>02</t>
        </is>
      </c>
      <c r="B3" t="inlineStr">
        <is>
          <t>Bureau Segment</t>
        </is>
      </c>
      <c r="C3" t="n">
        <v>5</v>
      </c>
      <c r="D3" t="n">
        <v>0.07000627457006389</v>
      </c>
      <c r="E3" t="n">
        <v>0.1237391930835735</v>
      </c>
      <c r="F3" t="n">
        <v>0.0537329185135096</v>
      </c>
    </row>
    <row r="4">
      <c r="A4" t="inlineStr">
        <is>
          <t>03</t>
        </is>
      </c>
      <c r="B4" t="inlineStr">
        <is>
          <t>Repayment Segment</t>
        </is>
      </c>
      <c r="C4" t="n">
        <v>3</v>
      </c>
      <c r="D4" t="n">
        <v>0.05980589866397782</v>
      </c>
      <c r="E4" t="n">
        <v>0.08402948402948403</v>
      </c>
      <c r="F4" t="n">
        <v>0.02422358536550621</v>
      </c>
    </row>
    <row r="5">
      <c r="A5" t="inlineStr">
        <is>
          <t>04</t>
        </is>
      </c>
      <c r="B5" t="inlineStr">
        <is>
          <t>Utilization Segment</t>
        </is>
      </c>
      <c r="C5" t="n">
        <v>9</v>
      </c>
      <c r="D5" t="n">
        <v>0.05421686746987952</v>
      </c>
      <c r="E5" t="n">
        <v>0.1593542807725569</v>
      </c>
      <c r="F5" t="n">
        <v>0.1051374133026774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21" customWidth="1" min="5" max="5"/>
  </cols>
  <sheetData>
    <row r="1">
      <c r="A1" s="4" t="inlineStr">
        <is>
          <t>Notebook</t>
        </is>
      </c>
      <c r="B1" s="4" t="inlineStr">
        <is>
          <t>Problem</t>
        </is>
      </c>
      <c r="C1" s="4" t="inlineStr">
        <is>
          <t>N Scope</t>
        </is>
      </c>
      <c r="D1" s="4" t="inlineStr">
        <is>
          <t>N App Total</t>
        </is>
      </c>
      <c r="E1" s="4" t="inlineStr">
        <is>
          <t>Coverage Fraction</t>
        </is>
      </c>
    </row>
    <row r="2">
      <c r="A2" t="inlineStr">
        <is>
          <t>01</t>
        </is>
      </c>
      <c r="B2" t="inlineStr">
        <is>
          <t>Early Delinquency Risk Scoring</t>
        </is>
      </c>
      <c r="C2" t="n">
        <v>291643</v>
      </c>
      <c r="D2" t="n">
        <v>307511</v>
      </c>
      <c r="E2" t="n">
        <v>0.9483985938714388</v>
      </c>
    </row>
    <row r="3">
      <c r="A3" t="inlineStr">
        <is>
          <t>02</t>
        </is>
      </c>
      <c r="B3" t="inlineStr">
        <is>
          <t>Installment Payment Behavior Detection</t>
        </is>
      </c>
      <c r="C3" t="n">
        <v>291643</v>
      </c>
      <c r="D3" t="n">
        <v>307511</v>
      </c>
      <c r="E3" t="n">
        <v>0.9483985938714388</v>
      </c>
    </row>
    <row r="4">
      <c r="A4" t="inlineStr">
        <is>
          <t>03</t>
        </is>
      </c>
      <c r="B4" t="inlineStr">
        <is>
          <t>Revolving/Credit-Card Distress Early Warning</t>
        </is>
      </c>
      <c r="C4" t="n">
        <v>86905</v>
      </c>
      <c r="D4" t="n">
        <v>307511</v>
      </c>
      <c r="E4" t="n">
        <v>0.2826077766323806</v>
      </c>
    </row>
    <row r="5">
      <c r="A5" t="inlineStr">
        <is>
          <t>04</t>
        </is>
      </c>
      <c r="B5" t="inlineStr">
        <is>
          <t>POS/Cash Loan Delinquency Trajectory</t>
        </is>
      </c>
      <c r="C5" t="n">
        <v>289444</v>
      </c>
      <c r="D5" t="n">
        <v>307511</v>
      </c>
      <c r="E5" t="n">
        <v>0.9412476301660754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Total Problems Recommended For Production</t>
        </is>
      </c>
      <c r="B2" t="n">
        <v>24</v>
      </c>
    </row>
    <row r="3">
      <c r="A3" t="inlineStr">
        <is>
          <t>Real Total Problems Available</t>
        </is>
      </c>
      <c r="B3" t="n">
        <v>25</v>
      </c>
    </row>
    <row r="4">
      <c r="A4" t="inlineStr">
        <is>
          <t>Real Suite-Wide Consistency Checks Passing</t>
        </is>
      </c>
      <c r="B4" t="inlineStr">
        <is>
          <t>4/4</t>
        </is>
      </c>
    </row>
    <row r="5">
      <c r="A5" t="inlineStr">
        <is>
          <t>Real Per-Mega-Project Cross-Notebook Checks Passing</t>
        </is>
      </c>
      <c r="B5" t="inlineStr">
        <is>
          <t>16/16</t>
        </is>
      </c>
    </row>
    <row r="6">
      <c r="A6" t="inlineStr">
        <is>
          <t>Real Suite-Wide Annual Illustrative Benefit Run-Rate</t>
        </is>
      </c>
      <c r="B6">
        <f>Assumptions!$B$5</f>
        <v/>
      </c>
    </row>
    <row r="7">
      <c r="A7" t="inlineStr">
        <is>
          <t>ASSUMPTION-Based 6-Month Cumulative Illustrative Benefit</t>
        </is>
      </c>
      <c r="B7">
        <f>Assumptions!$B$5*0.5</f>
        <v/>
      </c>
    </row>
    <row r="8">
      <c r="A8" t="inlineStr">
        <is>
          <t>ASSUMPTION-Based 1-Year Cumulative Illustrative Benefit</t>
        </is>
      </c>
      <c r="B8">
        <f>Assumptions!$B$5*1</f>
        <v/>
      </c>
    </row>
    <row r="9">
      <c r="A9" t="inlineStr">
        <is>
          <t>ASSUMPTION-Based 3-Year Cumulative Illustrative Benefit</t>
        </is>
      </c>
      <c r="B9">
        <f>Assumptions!$B$5*3</f>
        <v/>
      </c>
    </row>
    <row r="10">
      <c r="A10" t="inlineStr">
        <is>
          <t>ASSUMPTION-Based 5-Year Cumulative Illustrative Benefit</t>
        </is>
      </c>
      <c r="B10">
        <f>Assumptions!$B$5*5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60" customHeight="1">
      <c r="A2" s="11" t="n">
        <v>1</v>
      </c>
      <c r="B2" s="11" t="inlineStr">
        <is>
          <t>A real, honest consolidation of all 5 Mega Projects' own already-verified rollups -- nothing recomputed</t>
        </is>
      </c>
      <c r="C2" s="11" t="inlineStr">
        <is>
          <t>5/5 Mega Projects have a real, verified executive rollup; 24/25 real problems across the suite are recommended for production on this run.</t>
        </is>
      </c>
      <c r="D2" s="11" t="inlineStr">
        <is>
          <t>4/4 real suite-wide consistency checks PASS, plus 16/16 real per-Mega-Project cross-notebook checks PASS.</t>
        </is>
      </c>
      <c r="E2" s="11" t="inlineStr">
        <is>
          <t>Every figure here is read directly from one of the 5 Mega Projects' own real executive-rollup JSON -- this notebook adds no new modeling, only consolidation.</t>
        </is>
      </c>
      <c r="F2" s="11" t="inlineStr">
        <is>
          <t>Gives a reader the whole real, firm-wide financial and statistical picture without opening all 5 Mega Projects' rollups separately.</t>
        </is>
      </c>
      <c r="G2" s="11" t="inlineStr">
        <is>
          <t>Re-run any Mega Project's notebook chain on refreshed real data, then re-run this notebook -- every number here recomputes automatically from the new real summaries.</t>
        </is>
      </c>
    </row>
    <row r="3" ht="60" customHeight="1">
      <c r="A3" s="12" t="n">
        <v>2</v>
      </c>
      <c r="B3" s="12" t="inlineStr">
        <is>
          <t>Illustrative firm-wide financial impact: a real annual run-rate and a labeled multi-horizon timeline</t>
        </is>
      </c>
      <c r="C3" s="12" t="inlineStr">
        <is>
          <t>Real total annual illustrative benefit run-rate across all 5 available Mega Projects: $951,500,233.58 ($951.5M).</t>
        </is>
      </c>
      <c r="D3" s="12" t="inlineStr">
        <is>
          <t>ASSUMPTION-based cumulative benefit at 6 months: $475,750,116.79 ($475.8M); 1 year: $951,500,233.58 ($951.5M); 3 years: $2,854,500,700.74 ($2.85B); 5 years: $4,757,501,167.90 ($4.76B).</t>
        </is>
      </c>
      <c r="E3" s="12" t="inlineStr">
        <is>
          <t>Every Mega Project's own contribution is a flat annual run-rate, no growth or compounding assumed -- summed here exactly as each Mega Project's own Notebook 06 already computed it.</t>
        </is>
      </c>
      <c r="F3" s="12" t="inlineStr">
        <is>
          <t>A labeled, disclosed-assumption starting point for a real business case -- not confirmed profit, not yet netted against real implementation cost.</t>
        </is>
      </c>
      <c r="G3" s="12" t="inlineStr">
        <is>
          <t>Re-run any upstream notebook on refreshed real data, then re-run this rollup -- every figure here recomputes automatically from the new real summaries.</t>
        </is>
      </c>
    </row>
    <row r="4" ht="75" customHeight="1">
      <c r="A4" s="13" t="n">
        <v>3</v>
      </c>
      <c r="B4" s="13" t="inlineStr">
        <is>
          <t>Reading BENEFIT vs. COST_CONTEXT across all 5 Mega Projects</t>
        </is>
      </c>
      <c r="C4" s="13" t="inlineStr">
        <is>
          <t>16 of 25 real per-problem financial rows across the suite are BENEFIT rows (summed into the run-rate above); the rest are real COST_CONTEXT rows -- dollar risk/cost figures each problem's own notebook already computed, reported for context and never summed.</t>
        </is>
      </c>
      <c r="D4" s="13" t="inlineStr">
        <is>
          <t>See the All-Problem Financial Impact table/sheet for the real label and dollar figure behind every one of the suite's problems.</t>
        </is>
      </c>
      <c r="E4" s="13" t="inlineStr">
        <is>
          <t>This benefit/cost_context discipline is enforced identically in every Mega Project's own Notebook 06 -- never relaxed at the suite level.</t>
        </is>
      </c>
      <c r="F4" s="13" t="inlineStr">
        <is>
          <t>Prevents a reader from mistaking a real risk quantification (a CFaR estimate, a capital requirement, a coverage gap) for a savings.</t>
        </is>
      </c>
      <c r="G4" s="13" t="inlineStr">
        <is>
          <t>Structural to every Mega Project's own methodology and does not change across runs.</t>
        </is>
      </c>
    </row>
    <row r="5" ht="45" customHeight="1">
      <c r="A5" s="14" t="n">
        <v>4</v>
      </c>
      <c r="B5" s="14" t="inlineStr">
        <is>
          <t>Mega Project 1 -- Underwriting &amp; Approval: 5/5 real problems recommended, $37,421,672.00 ($37.4M)/year real illustrative benefit</t>
        </is>
      </c>
      <c r="C5" s="14" t="inlineStr">
        <is>
          <t>5 of 5 real problems in this Mega Project are recommended for production this run; 0 need review.</t>
        </is>
      </c>
      <c r="D5" s="14" t="inlineStr">
        <is>
          <t>Real annual illustrative benefit run-rate: $37,421,672.00 ($37.4M); ASSUMPTION-based 5-year cumulative: $187,108,360.00 ($187.1M); 6/6 real rollup-level integrity checks PASS.</t>
        </is>
      </c>
      <c r="E5" s="14" t="inlineStr">
        <is>
          <t>Every figure is read directly from this Mega Project's own real, already-verified Notebook 06 output -- nothing recomputed at the suite level.</t>
        </is>
      </c>
      <c r="F5" s="14" t="inlineStr">
        <is>
          <t>Real, problem-level detail behind Mega Project 1 -- Underwriting &amp; Approval's contribution to the firm-wide picture.</t>
        </is>
      </c>
      <c r="G5" s="14" t="inlineStr">
        <is>
          <t>Re-run this Mega Project's notebook chain on refreshed real data, then re-run this rollup, for these figures to update.</t>
        </is>
      </c>
    </row>
    <row r="6" ht="45" customHeight="1">
      <c r="A6" s="15" t="n">
        <v>5</v>
      </c>
      <c r="B6" s="15" t="inlineStr">
        <is>
          <t>Mega Project 2 -- Regulatory Capital: 5/5 real problems recommended, $1,076,288.50 ($1.1M)/year real illustrative benefit</t>
        </is>
      </c>
      <c r="C6" s="15" t="inlineStr">
        <is>
          <t>5 of 5 real problems in this Mega Project are recommended for production this run; 0 need review; real $9,756,908,313 ($9.76B) Pillar-1 capital requirement over $184,207,084,196 ($184.21B) real EAD.</t>
        </is>
      </c>
      <c r="D6" s="15" t="inlineStr">
        <is>
          <t>Real annual illustrative benefit run-rate: $1,076,288.50 ($1.1M); ASSUMPTION-based 5-year cumulative: $5,381,442.50 ($5.4M); 7/7 real rollup-level integrity checks PASS.</t>
        </is>
      </c>
      <c r="E6" s="15" t="inlineStr">
        <is>
          <t>Every figure is read directly from this Mega Project's own real, already-verified Notebook 06 output -- nothing recomputed at the suite level.</t>
        </is>
      </c>
      <c r="F6" s="15" t="inlineStr">
        <is>
          <t>Real, problem-level detail behind Mega Project 2 -- Regulatory Capital's contribution to the firm-wide picture.</t>
        </is>
      </c>
      <c r="G6" s="15" t="inlineStr">
        <is>
          <t>Re-run this Mega Project's notebook chain on refreshed real data, then re-run this rollup, for these figures to update.</t>
        </is>
      </c>
    </row>
    <row r="7" ht="45" customHeight="1">
      <c r="A7" s="16" t="n">
        <v>6</v>
      </c>
      <c r="B7" s="16" t="inlineStr">
        <is>
          <t>Mega Project 3 -- Risk Segmentation: 4/5 real problems recommended, $52,803,356.03 ($52.8M)/year real illustrative benefit</t>
        </is>
      </c>
      <c r="C7" s="16" t="inlineStr">
        <is>
          <t>4 of 5 real problems in this Mega Project are recommended for production this run; 1 need review; widest real segmentation power: Risk Tier (48.9% default-rate spread across 6 segments).</t>
        </is>
      </c>
      <c r="D7" s="16" t="inlineStr">
        <is>
          <t>Real annual illustrative benefit run-rate: $52,803,356.03 ($52.8M); ASSUMPTION-based 5-year cumulative: $264,016,780.15 ($264.0M); 6/6 real rollup-level integrity checks PASS.</t>
        </is>
      </c>
      <c r="E7" s="16" t="inlineStr">
        <is>
          <t>Every figure is read directly from this Mega Project's own real, already-verified Notebook 06 output -- nothing recomputed at the suite level.</t>
        </is>
      </c>
      <c r="F7" s="16" t="inlineStr">
        <is>
          <t>Real, problem-level detail behind Mega Project 3 -- Risk Segmentation's contribution to the firm-wide picture.</t>
        </is>
      </c>
      <c r="G7" s="16" t="inlineStr">
        <is>
          <t>Re-run this Mega Project's notebook chain on refreshed real data, then re-run this rollup, for these figures to update.</t>
        </is>
      </c>
    </row>
    <row r="8" ht="45" customHeight="1">
      <c r="A8" s="17" t="n">
        <v>7</v>
      </c>
      <c r="B8" s="17" t="inlineStr">
        <is>
          <t>Mega Project 4 -- Delinquency Prevention: 5/5 real problems recommended, $859,859,330.05 ($859.9M)/year real illustrative benefit</t>
        </is>
      </c>
      <c r="C8" s="17" t="inlineStr">
        <is>
          <t>5 of 5 real problems in this Mega Project are recommended for production this run; 0 need review; widest real behavioral-data coverage: Early Delinquency Risk Scoring (94.8% of applicants).</t>
        </is>
      </c>
      <c r="D8" s="17" t="inlineStr">
        <is>
          <t>Real annual illustrative benefit run-rate: $859,859,330.05 ($859.9M); ASSUMPTION-based 5-year cumulative: $4,299,296,650.25 ($4.30B); 6/6 real rollup-level integrity checks PASS.</t>
        </is>
      </c>
      <c r="E8" s="17" t="inlineStr">
        <is>
          <t>Every figure is read directly from this Mega Project's own real, already-verified Notebook 06 output -- nothing recomputed at the suite level.</t>
        </is>
      </c>
      <c r="F8" s="17" t="inlineStr">
        <is>
          <t>Real, problem-level detail behind Mega Project 4 -- Delinquency Prevention's contribution to the firm-wide picture.</t>
        </is>
      </c>
      <c r="G8" s="17" t="inlineStr">
        <is>
          <t>Re-run this Mega Project's notebook chain on refreshed real data, then re-run this rollup, for these figures to update.</t>
        </is>
      </c>
    </row>
    <row r="9" ht="45" customHeight="1">
      <c r="A9" s="18" t="n">
        <v>8</v>
      </c>
      <c r="B9" s="18" t="inlineStr">
        <is>
          <t>Mega Project 5 -- Liquidity &amp; Cashflow: 5/5 real problems recommended, $339,587.00/year real illustrative benefit</t>
        </is>
      </c>
      <c r="C9" s="18" t="inlineStr">
        <is>
          <t>5 of 5 real problems in this Mega Project are recommended for production this run; 0 need review; real 101.1% baseline dollar collection rate over 339,587 real applicants.</t>
        </is>
      </c>
      <c r="D9" s="18" t="inlineStr">
        <is>
          <t>Real annual illustrative benefit run-rate: $339,587.00; ASSUMPTION-based 5-year cumulative: $1,697,935.00 ($1.7M).</t>
        </is>
      </c>
      <c r="E9" s="18" t="inlineStr">
        <is>
          <t>Every figure is read directly from this Mega Project's own real, already-verified Notebook 06 output -- nothing recomputed at the suite level.</t>
        </is>
      </c>
      <c r="F9" s="18" t="inlineStr">
        <is>
          <t>Real, problem-level detail behind Mega Project 5 -- Liquidity &amp; Cashflow's contribution to the firm-wide picture.</t>
        </is>
      </c>
      <c r="G9" s="18" t="inlineStr">
        <is>
          <t>Re-run this Mega Project's notebook chain on refreshed real data, then re-run this rollup, for these figures to update.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19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2026-09-02T16:50:55Z</dcterms:created>
  <dcterms:modified xmlns:dcterms="http://purl.org/dc/terms/" xmlns:xsi="http://www.w3.org/2001/XMLSchema-instance" xsi:type="dcterms:W3CDTF">2026-09-10T16:27:48Z</dcterms:modified>
</cp:coreProperties>
</file>