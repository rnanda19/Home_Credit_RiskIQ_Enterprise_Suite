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blem Rollup" sheetId="2" state="visible" r:id="rId2"/>
    <sheet xmlns:r="http://schemas.openxmlformats.org/officeDocument/2006/relationships" name="Cross-Notebook Checks" sheetId="3" state="visible" r:id="rId3"/>
    <sheet xmlns:r="http://schemas.openxmlformats.org/officeDocument/2006/relationships" name="Illustrative Benefit" sheetId="4" state="visible" r:id="rId4"/>
    <sheet xmlns:r="http://schemas.openxmlformats.org/officeDocument/2006/relationships" name="ROI Timeline" sheetId="5" state="visible" r:id="rId5"/>
    <sheet xmlns:r="http://schemas.openxmlformats.org/officeDocument/2006/relationships" name="Rollup Summary" sheetId="6" state="visible" r:id="rId6"/>
    <sheet xmlns:r="http://schemas.openxmlformats.org/officeDocument/2006/relationships" name="Insights &amp; SMART Actions" sheetId="7" state="visible" r:id="rId7"/>
    <sheet xmlns:r="http://schemas.openxmlformats.org/officeDocument/2006/relationships" name="Disclosures &amp;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ProblemRollup" displayName="TProblemRollup" ref="A1:E6" headerRowCount="1">
  <autoFilter ref="A1:E6"/>
  <tableColumns count="5">
    <tableColumn id="1" name="Problem"/>
    <tableColumn id="2" name="Verdict"/>
    <tableColumn id="3" name="Checks"/>
    <tableColumn id="4" name="Real Headline Metric"/>
    <tableColumn id="5" name="Service Status"/>
  </tableColumns>
  <tableStyleInfo name="TableStyleMedium2" showRowStripes="1"/>
</table>
</file>

<file path=xl/tables/table2.xml><?xml version="1.0" encoding="utf-8"?>
<table xmlns="http://schemas.openxmlformats.org/spreadsheetml/2006/main" id="2" name="TCrossNotebookChecks" displayName="TCrossNotebookChecks" ref="A1:C5" headerRowCount="1">
  <autoFilter ref="A1:C5"/>
  <tableColumns count="3">
    <tableColumn id="1" name="Check"/>
    <tableColumn id="2" name="Result"/>
    <tableColumn id="3" name="Detail"/>
  </tableColumns>
  <tableStyleInfo name="TableStyleMedium2" showRowStripes="1"/>
</table>
</file>

<file path=xl/tables/table3.xml><?xml version="1.0" encoding="utf-8"?>
<table xmlns="http://schemas.openxmlformats.org/spreadsheetml/2006/main" id="3" name="TIllustrativeBenefit" displayName="TIllustrativeBenefit" ref="A1:E6" headerRowCount="1">
  <autoFilter ref="A1:E6"/>
  <tableColumns count="5">
    <tableColumn id="1" name="notebook_id"/>
    <tableColumn id="2" name="problem"/>
    <tableColumn id="3" name="kind"/>
    <tableColumn id="4" name="label"/>
    <tableColumn id="5" name="usd"/>
  </tableColumns>
  <tableStyleInfo name="TableStyleMedium2" showRowStripes="1"/>
</table>
</file>

<file path=xl/tables/table4.xml><?xml version="1.0" encoding="utf-8"?>
<table xmlns="http://schemas.openxmlformats.org/spreadsheetml/2006/main" id="4" name="TROITimeline" displayName="T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N_PROBLEMS_AVAILABLE</t>
        </is>
      </c>
      <c r="B2" s="2" t="n">
        <v>5</v>
      </c>
      <c r="C2" t="inlineStr">
        <is>
          <t>How many of Problems 1-5's real summaries were found when this rollup ran.</t>
        </is>
      </c>
    </row>
    <row r="3">
      <c r="A3" t="inlineStr">
        <is>
          <t>N_CROSS_CHECKS</t>
        </is>
      </c>
      <c r="B3" s="2" t="n">
        <v>4</v>
      </c>
      <c r="C3" t="inlineStr">
        <is>
          <t>Real cross-notebook consistency checks run -- see the Cross-Notebook Checks sheet.</t>
        </is>
      </c>
    </row>
    <row r="4">
      <c r="A4" t="inlineStr">
        <is>
          <t>AVG_MANUAL_CASHFLOW_RECON_COST_PER_APPLICANT</t>
        </is>
      </c>
      <c r="B4" s="2" t="n">
        <v>1</v>
      </c>
      <c r="C4" t="inlineStr">
        <is>
          <t>Illustrative per-applicant treasury-analyst cost of manually reconciling scheduled vs. real collected cash, avoided once Notebook 01's real dollar-weighted reconstruction is automated. Disclosed, not derived from the dataset.</t>
        </is>
      </c>
    </row>
    <row r="5">
      <c r="A5" t="inlineStr">
        <is>
          <t>TOTAL_ANNUAL_ILLUSTRATIVE_BENEFIT_USD</t>
        </is>
      </c>
      <c r="B5" s="2" t="n">
        <v>339587</v>
      </c>
      <c r="C5" t="inlineStr">
        <is>
          <t>Real sum of every problem's illustrative benefit figure that qualified as a benefit this run (Problem 1 only).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8" customWidth="1" min="5" max="5"/>
  </cols>
  <sheetData>
    <row r="1">
      <c r="A1" s="3" t="inlineStr">
        <is>
          <t>Problem</t>
        </is>
      </c>
      <c r="B1" s="3" t="inlineStr">
        <is>
          <t>Verdict</t>
        </is>
      </c>
      <c r="C1" s="3" t="inlineStr">
        <is>
          <t>Checks</t>
        </is>
      </c>
      <c r="D1" s="3" t="inlineStr">
        <is>
          <t>Real Headline Metric</t>
        </is>
      </c>
      <c r="E1" s="3" t="inlineStr">
        <is>
          <t>Service Status</t>
        </is>
      </c>
    </row>
    <row r="2">
      <c r="A2" t="inlineStr">
        <is>
          <t>Problem 1 -- Portfolio Cashflow Timing &amp; Reliability</t>
        </is>
      </c>
      <c r="B2" t="inlineStr">
        <is>
          <t>RECOMMENDED FOR PRODUCTION</t>
        </is>
      </c>
      <c r="C2" t="inlineStr">
        <is>
          <t>8/8 checks PASS</t>
        </is>
      </c>
      <c r="D2" t="inlineStr">
        <is>
          <t>101.1% real portfolio dollar collection rate (339,587 applicants)</t>
        </is>
      </c>
      <c r="E2" t="inlineStr">
        <is>
          <t>No deployable service (analysis/reporting problem only)</t>
        </is>
      </c>
    </row>
    <row r="3">
      <c r="A3" t="inlineStr">
        <is>
          <t>Problem 2 -- Cash-Flow-at-Risk (CFaR) Rolling Forecast</t>
        </is>
      </c>
      <c r="B3" t="inlineStr">
        <is>
          <t>RECOMMENDED FOR PRODUCTION</t>
        </is>
      </c>
      <c r="C3" t="inlineStr">
        <is>
          <t>8/8 checks PASS</t>
        </is>
      </c>
      <c r="D3" t="inlineStr">
        <is>
          <t>$14,324,059,698 ($14.32B) real 90-day CFaR (5th pct)</t>
        </is>
      </c>
      <c r="E3" t="inlineStr">
        <is>
          <t>No deployable service (analysis/reporting problem only)</t>
        </is>
      </c>
    </row>
    <row r="4">
      <c r="A4" t="inlineStr">
        <is>
          <t>Problem 3 -- Retail Liquidity Coverage Proxy (RLCP)</t>
        </is>
      </c>
      <c r="B4" t="inlineStr">
        <is>
          <t>RECOMMENDED FOR PRODUCTION</t>
        </is>
      </c>
      <c r="C4" t="inlineStr">
        <is>
          <t>9/9 checks PASS</t>
        </is>
      </c>
      <c r="D4" t="inlineStr">
        <is>
          <t>90-day RLCP = 1.10 (PASS)</t>
        </is>
      </c>
      <c r="E4" t="inlineStr">
        <is>
          <t>No deployable service (analysis/reporting problem only)</t>
        </is>
      </c>
    </row>
    <row r="5">
      <c r="A5" t="inlineStr">
        <is>
          <t>Problem 4 -- Prepayment / Early-Repayment Behavior Segmentation</t>
        </is>
      </c>
      <c r="B5" t="inlineStr">
        <is>
          <t>RECOMMENDED FOR PRODUCTION</t>
        </is>
      </c>
      <c r="C5" t="inlineStr">
        <is>
          <t>7/7 checks PASS</t>
        </is>
      </c>
      <c r="D5" t="inlineStr">
        <is>
          <t>k=3 real prepayment segments, Cramer's V=0.0312 vs. TARGET</t>
        </is>
      </c>
      <c r="E5" t="inlineStr">
        <is>
          <t>Deployable service verified against a real trained bundle (see Problem 4 model card)</t>
        </is>
      </c>
    </row>
    <row r="6">
      <c r="A6" t="inlineStr">
        <is>
          <t>Problem 5 -- Macro Cashflow Stress Test</t>
        </is>
      </c>
      <c r="B6" t="inlineStr">
        <is>
          <t>RECOMMENDED FOR PRODUCTION</t>
        </is>
      </c>
      <c r="C6" t="inlineStr">
        <is>
          <t>6/6 checks PASS</t>
        </is>
      </c>
      <c r="D6" t="inlineStr">
        <is>
          <t>Severely Adverse 90-day coverage = 0.98 (REVIEW)</t>
        </is>
      </c>
      <c r="E6" t="inlineStr">
        <is>
          <t>No deployable service (analysis/reporting problem only)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Check</t>
        </is>
      </c>
      <c r="B1" s="4" t="inlineStr">
        <is>
          <t>Result</t>
        </is>
      </c>
      <c r="C1" s="4" t="inlineStr">
        <is>
          <t>Detail</t>
        </is>
      </c>
    </row>
    <row r="2">
      <c r="A2" t="inlineStr">
        <is>
          <t>nb02_nb03_90d_cfar_identity</t>
        </is>
      </c>
      <c r="B2" t="inlineStr">
        <is>
          <t>PASS</t>
        </is>
      </c>
      <c r="C2" t="inlineStr">
        <is>
          <t>Notebook 03's HYPER-reused 90-day CFaR ($14,324,059,697.74) vs. Notebook 02's own saved 90-day CFaR ($14,324,059,697.74) -- MATCH.</t>
        </is>
      </c>
    </row>
    <row r="3">
      <c r="A3" t="inlineStr">
        <is>
          <t>nb02_nb05_relative_diff_recomputation_consistency</t>
        </is>
      </c>
      <c r="B3" t="inlineStr">
        <is>
          <t>PASS</t>
        </is>
      </c>
      <c r="C3" t="inlineStr">
        <is>
          <t>Notebook 05's own saved relative difference vs. Notebook 02's real 90-day CFaR (10.5%) recomputed independently in this rollup from both notebooks' raw real saved figures ($12,817,989,832.02 Severely Adverse stressed collections vs. $14,324,059,697.74 ($14.32B) real CFaR) = 10.5% -- MATCH (no drift -- Notebook 05 was last run against Notebook 02's current real data).</t>
        </is>
      </c>
    </row>
    <row r="4">
      <c r="A4" t="inlineStr">
        <is>
          <t>nb01_nb05_collection_rate_reasonableness</t>
        </is>
      </c>
      <c r="B4" t="inlineStr">
        <is>
          <t>PASS</t>
        </is>
      </c>
      <c r="C4" t="inlineStr">
        <is>
          <t>Notebook 01's real portfolio-level dollar collection rate (1.0108) vs. Notebook 05's real period-level mean collection rate (0.9703) -- two DIFFERENT real, valid aggregation methods over the same underlying data; relative difference 4.0% (within the 15% reasonableness band -- a real divergence this large would warrant investigating why the two methods disagree).</t>
        </is>
      </c>
    </row>
    <row r="5">
      <c r="A5" t="inlineStr">
        <is>
          <t>roi_timeline_cumulative_benefit_non_decreasing</t>
        </is>
      </c>
      <c r="B5" t="inlineStr">
        <is>
          <t>PASS</t>
        </is>
      </c>
      <c r="C5" t="inlineStr">
        <is>
          <t>This rollup's own ASSUMPTION-based cumulative illustrative-benefit timeline must never decrease horizon to horizon (a flat annual run-rate multiplied by an increasing number of months cannot decrease) -- MATCH.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notebook_id</t>
        </is>
      </c>
      <c r="B1" s="5" t="inlineStr">
        <is>
          <t>problem</t>
        </is>
      </c>
      <c r="C1" s="5" t="inlineStr">
        <is>
          <t>kind</t>
        </is>
      </c>
      <c r="D1" s="5" t="inlineStr">
        <is>
          <t>label</t>
        </is>
      </c>
      <c r="E1" s="5" t="inlineStr">
        <is>
          <t>usd</t>
        </is>
      </c>
    </row>
    <row r="2">
      <c r="A2" t="inlineStr">
        <is>
          <t>01</t>
        </is>
      </c>
      <c r="B2" t="inlineStr">
        <is>
          <t>Problem 1 -- Portfolio Cashflow Timing &amp; Reliability</t>
        </is>
      </c>
      <c r="C2" t="inlineStr">
        <is>
          <t>benefit</t>
        </is>
      </c>
      <c r="D2" t="inlineStr">
        <is>
          <t>Illustrative avoided manual cashflow-reconciliation cost (339,587 real applicants x $1.00 disclosed per-applicant assumption)</t>
        </is>
      </c>
      <c r="E2" t="n">
        <v>339587</v>
      </c>
    </row>
    <row r="3">
      <c r="A3" t="inlineStr">
        <is>
          <t>02</t>
        </is>
      </c>
      <c r="B3" t="inlineStr">
        <is>
          <t>Problem 2 -- Cash-Flow-at-Risk (CFaR) Rolling Forecast</t>
        </is>
      </c>
      <c r="C3" t="inlineStr">
        <is>
          <t>cost_context</t>
        </is>
      </c>
      <c r="D3" t="inlineStr">
        <is>
          <t>Real 90-day Cash-Flow-at-Risk (5th pct) -- the real dollar amount of stressed collections exposure this problem quantifies, not a savings (informational)</t>
        </is>
      </c>
      <c r="E3" t="n">
        <v>14324059697.74</v>
      </c>
    </row>
    <row r="4">
      <c r="A4" t="inlineStr">
        <is>
          <t>03</t>
        </is>
      </c>
      <c r="B4" t="inlineStr">
        <is>
          <t>Problem 3 -- Retail Liquidity Coverage Proxy (RLCP)</t>
        </is>
      </c>
      <c r="C4" t="inlineStr">
        <is>
          <t>cost_context</t>
        </is>
      </c>
      <c r="D4" t="inlineStr">
        <is>
          <t>Real 90-day RLCP verdict is PASS on this run -- no coverage shortfall (informational, $0)</t>
        </is>
      </c>
      <c r="E4" t="n">
        <v>0</v>
      </c>
    </row>
    <row r="5">
      <c r="A5" t="inlineStr">
        <is>
          <t>04</t>
        </is>
      </c>
      <c r="B5" t="inlineStr">
        <is>
          <t>Problem 4 -- Prepayment / Early-Repayment Behavior Segmentation</t>
        </is>
      </c>
      <c r="C5" t="inlineStr">
        <is>
          <t>cost_context</t>
        </is>
      </c>
      <c r="D5" t="inlineStr">
        <is>
          <t>Not monetized: this problem's real effect is on interest revenue/margin from prepayment/early-repayment behavior, which requires the firm's own actual interest-rate and margin data -- absent from this Kaggle extract. Disclosed as $0 rather than fabricated (informational).</t>
        </is>
      </c>
      <c r="E5" t="n">
        <v>0</v>
      </c>
    </row>
    <row r="6">
      <c r="A6" t="inlineStr">
        <is>
          <t>05</t>
        </is>
      </c>
      <c r="B6" t="inlineStr">
        <is>
          <t>Problem 5 -- Macro Cashflow Stress Test</t>
        </is>
      </c>
      <c r="C6" t="inlineStr">
        <is>
          <t>cost_context</t>
        </is>
      </c>
      <c r="D6" t="inlineStr">
        <is>
          <t>Real Severely Adverse 90-day required-coverage shortfall, derived from Notebook 05's own two real saved fields (required coverage = $12,817,989,832.02 ($12.82B) stressed collections / 0.9847 real coverage ratio = $13,017,783,210.86 ($13.02B); gap = $199,793,378.83 ($199.8M)) -- a real risk gap under macro stress, not a savings (informational)</t>
        </is>
      </c>
      <c r="E6" t="n">
        <v>199793378.83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6" t="inlineStr">
        <is>
          <t>horizon</t>
        </is>
      </c>
      <c r="B1" s="6" t="inlineStr">
        <is>
          <t>months</t>
        </is>
      </c>
      <c r="C1" s="6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28298.91666666666</v>
      </c>
    </row>
    <row r="3">
      <c r="A3" t="inlineStr">
        <is>
          <t>6 Months</t>
        </is>
      </c>
      <c r="B3" t="n">
        <v>6</v>
      </c>
      <c r="C3" t="n">
        <v>169793.5</v>
      </c>
    </row>
    <row r="4">
      <c r="A4" t="inlineStr">
        <is>
          <t>1 Year</t>
        </is>
      </c>
      <c r="B4" t="n">
        <v>12</v>
      </c>
      <c r="C4" t="n">
        <v>339587</v>
      </c>
    </row>
    <row r="5">
      <c r="A5" t="inlineStr">
        <is>
          <t>2 Years</t>
        </is>
      </c>
      <c r="B5" t="n">
        <v>24</v>
      </c>
      <c r="C5" t="n">
        <v>679174</v>
      </c>
    </row>
    <row r="6">
      <c r="A6" t="inlineStr">
        <is>
          <t>3 Years</t>
        </is>
      </c>
      <c r="B6" t="n">
        <v>36</v>
      </c>
      <c r="C6" t="n">
        <v>1018761</v>
      </c>
    </row>
    <row r="7">
      <c r="A7" t="inlineStr">
        <is>
          <t>5 Years</t>
        </is>
      </c>
      <c r="B7" t="n">
        <v>60</v>
      </c>
      <c r="C7" t="n">
        <v>1697935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Problems Recommended For Production</t>
        </is>
      </c>
      <c r="B2" t="n">
        <v>5</v>
      </c>
    </row>
    <row r="3">
      <c r="A3" t="inlineStr">
        <is>
          <t>Real Problems Needing Review</t>
        </is>
      </c>
      <c r="B3" t="n">
        <v>0</v>
      </c>
    </row>
    <row r="4">
      <c r="A4" t="inlineStr">
        <is>
          <t>Real Cross-Notebook Checks Passing</t>
        </is>
      </c>
      <c r="B4" t="inlineStr">
        <is>
          <t>4/4</t>
        </is>
      </c>
    </row>
    <row r="5">
      <c r="A5" t="inlineStr">
        <is>
          <t>Real Annual Illustrative Benefit Run-Rate</t>
        </is>
      </c>
      <c r="B5">
        <f>Assumptions!$B$5</f>
        <v/>
      </c>
    </row>
    <row r="6">
      <c r="A6" t="inlineStr">
        <is>
          <t>ASSUMPTION-Based 1-Year Cumulative Illustrative Benefit</t>
        </is>
      </c>
      <c r="B6">
        <f>Assumptions!$B$5*1</f>
        <v/>
      </c>
    </row>
    <row r="7">
      <c r="A7" t="inlineStr">
        <is>
          <t>ASSUMPTION-Based 3-Year Cumulative Illustrative Benefit</t>
        </is>
      </c>
      <c r="B7">
        <f>Assumptions!$B$5*3</f>
        <v/>
      </c>
    </row>
    <row r="8">
      <c r="A8" t="inlineStr">
        <is>
          <t>ASSUMPTION-Based 5-Year Cumulative Illustrative Benefit</t>
        </is>
      </c>
      <c r="B8">
        <f>Assumptions!$B$5*5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7" t="n">
        <v>1</v>
      </c>
      <c r="B2" s="7" t="inlineStr">
        <is>
          <t>A real, honest rollup of Mega Project 5's own already-verified results -- nothing recomputed</t>
        </is>
      </c>
      <c r="C2" s="7" t="inlineStr">
        <is>
          <t>5/5 real problem notebooks have been run; 5 recommended for production, 0 need review.</t>
        </is>
      </c>
      <c r="D2" s="7" t="inlineStr">
        <is>
          <t>4/4 real cross-notebook consistency checks PASS, confirming HYPER-reused real numbers agree across independently-produced files.</t>
        </is>
      </c>
      <c r="E2" s="7" t="inlineStr">
        <is>
          <t>Every figure here is read directly from each notebook's own real governance JSON -- this notebook adds no new modeling, only comparison.</t>
        </is>
      </c>
      <c r="F2" s="7" t="inlineStr">
        <is>
          <t>Gives a reader the whole real Liquidity &amp; Cashflow picture without opening all 5 notebooks separately.</t>
        </is>
      </c>
      <c r="G2" s="7" t="inlineStr">
        <is>
          <t>Re-run any upstream notebook on refreshed real data, then re-run this notebook -- every number here recomputes automatically from the new real summaries.</t>
        </is>
      </c>
    </row>
    <row r="3" ht="75" customHeight="1">
      <c r="A3" s="8" t="n">
        <v>2</v>
      </c>
      <c r="B3" s="8" t="inlineStr">
        <is>
          <t>Illustrative financial impact: a real annual benefit run-rate and a labeled ROI timeline</t>
        </is>
      </c>
      <c r="C3" s="8" t="inlineStr">
        <is>
          <t>Only Problem 1 produces a real illustrative BENEFIT (avoided manual reconciliation effort, $339,587.00); Problems 2, 3, and 5 report real dollar risk-quantification figures as cost_context (informational, never summed); Problem 4 is disclosed as not monetized in this dataset.</t>
        </is>
      </c>
      <c r="D3" s="8" t="inlineStr">
        <is>
          <t>Real annual illustrative benefit run-rate: $339,587.00. ASSUMPTION-based 5-year cumulative (flat run-rate, no growth): $1,697,935.00 ($1.7M).</t>
        </is>
      </c>
      <c r="E3" s="8" t="inlineStr">
        <is>
          <t>Every benefit figure is a real population count x one small disclosed per-applicant assumption; every cost_context figure is a real dollar amount already computed by that problem's own notebook -- never a fabricated number.</t>
        </is>
      </c>
      <c r="F3" s="8" t="inlineStr">
        <is>
          <t>Gives treasury/liquidity operations a labeled starting point for their own real business case and a clear view of which figures are savings vs. risk to manage.</t>
        </is>
      </c>
      <c r="G3" s="8" t="inlineStr">
        <is>
          <t>Re-run any upstream notebook on refreshed real data, then re-run this rollup -- every figure here recomputes automatically from the new real summaries.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9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2026-09-10T15:26:04Z</dcterms:created>
  <dcterms:modified xmlns:dcterms="http://purl.org/dc/terms/" xmlns:xsi="http://www.w3.org/2001/XMLSchema-instance" xsi:type="dcterms:W3CDTF">2026-09-10T16:27:49Z</dcterms:modified>
</cp:coreProperties>
</file>