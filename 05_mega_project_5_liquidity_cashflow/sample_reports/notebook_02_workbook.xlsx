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FaR by Horizon" sheetId="2" state="visible" r:id="rId2"/>
    <sheet xmlns:r="http://schemas.openxmlformats.org/officeDocument/2006/relationships" name="Historical Periods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CFaR Summary" sheetId="5" state="visible" r:id="rId5"/>
    <sheet xmlns:r="http://schemas.openxmlformats.org/officeDocument/2006/relationships" name="Insights &amp; SMART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CFaRbyHorizon" displayName="TCFaRbyHorizon" ref="A1:F4" headerRowCount="1">
  <autoFilter ref="A1:F4"/>
  <tableColumns count="6">
    <tableColumn id="1" name="Horizon (days)"/>
    <tableColumn id="2" name="Real Periods"/>
    <tableColumn id="3" name="5th Pct CFaR"/>
    <tableColumn id="4" name="Median Expected"/>
    <tableColumn id="5" name="95th Pct"/>
    <tableColumn id="6" name="MC vs Closed-Form Diff"/>
  </tableColumns>
  <tableStyleInfo name="TableStyleMedium2" showRowStripes="1"/>
</table>
</file>

<file path=xl/tables/table2.xml><?xml version="1.0" encoding="utf-8"?>
<table xmlns="http://schemas.openxmlformats.org/spreadsheetml/2006/main" id="2" name="THistoricalPeriods" displayName="THistoricalPeriods" ref="A1:D99" headerRowCount="1">
  <autoFilter ref="A1:D99"/>
  <tableColumns count="4">
    <tableColumn id="1" name="Period start (day)"/>
    <tableColumn id="2" name="Scheduled ($)"/>
    <tableColumn id="3" name="Collected ($)"/>
    <tableColumn id="4" name="Collection Rate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9" headerRowCount="1">
  <autoFilter ref="A1:B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NEAR_TERM_SCHEDULED_CASH_PER_PERIOD</t>
        </is>
      </c>
      <c r="B2" s="2" t="n">
        <v>5105013023.865</v>
      </c>
      <c r="C2" t="inlineStr">
        <is>
          <t>Documented assumption, not measured: real Kaggle installments_payments.csv is a static historical extract with no row for a not-yet-scheduled installment, so near-term scheduled cash is assumed to continue at the mean of the most recent 3 real historical 30-day periods.</t>
        </is>
      </c>
    </row>
    <row r="3">
      <c r="A3" t="inlineStr">
        <is>
          <t>N_MONTE_CARLO_DRAWS</t>
        </is>
      </c>
      <c r="B3" s="2" t="n">
        <v>20000</v>
      </c>
      <c r="C3" t="inlineStr">
        <is>
          <t>Real simulation size -- higher = a smoother real percentile estimate, no change to the underlying real historical distribution being resampled.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4" customWidth="1" min="5" max="5"/>
    <col width="26" customWidth="1" min="6" max="6"/>
  </cols>
  <sheetData>
    <row r="1">
      <c r="A1" s="3" t="inlineStr">
        <is>
          <t>Horizon (days)</t>
        </is>
      </c>
      <c r="B1" s="3" t="inlineStr">
        <is>
          <t>Real Periods</t>
        </is>
      </c>
      <c r="C1" s="3" t="inlineStr">
        <is>
          <t>5th Pct CFaR</t>
        </is>
      </c>
      <c r="D1" s="3" t="inlineStr">
        <is>
          <t>Median Expected</t>
        </is>
      </c>
      <c r="E1" s="3" t="inlineStr">
        <is>
          <t>95th Pct</t>
        </is>
      </c>
      <c r="F1" s="3" t="inlineStr">
        <is>
          <t>MC vs Closed-Form Diff</t>
        </is>
      </c>
    </row>
    <row r="2">
      <c r="A2" t="n">
        <v>30</v>
      </c>
      <c r="B2" t="n">
        <v>1</v>
      </c>
      <c r="C2" t="n">
        <v>4726578522.096735</v>
      </c>
      <c r="D2" t="n">
        <v>4849630060.928131</v>
      </c>
      <c r="E2" t="n">
        <v>5331412289.363412</v>
      </c>
      <c r="F2" t="n">
        <v>0.0006233594521381248</v>
      </c>
    </row>
    <row r="3">
      <c r="A3" t="n">
        <v>60</v>
      </c>
      <c r="B3" t="n">
        <v>2</v>
      </c>
      <c r="C3" t="n">
        <v>9512407213.547659</v>
      </c>
      <c r="D3" t="n">
        <v>9912936536.689457</v>
      </c>
      <c r="E3" t="n">
        <v>10524192669.73282</v>
      </c>
      <c r="F3" t="n">
        <v>0.000177265868689308</v>
      </c>
    </row>
    <row r="4">
      <c r="A4" t="n">
        <v>90</v>
      </c>
      <c r="B4" t="n">
        <v>3</v>
      </c>
      <c r="C4" t="n">
        <v>14324059697.74461</v>
      </c>
      <c r="D4" t="n">
        <v>14854340933.22366</v>
      </c>
      <c r="E4" t="n">
        <v>15503847716.89906</v>
      </c>
      <c r="F4" t="n">
        <v>0.0001825656983752759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9" customWidth="1" min="4" max="4"/>
  </cols>
  <sheetData>
    <row r="1">
      <c r="A1" s="4" t="inlineStr">
        <is>
          <t>Period start (day)</t>
        </is>
      </c>
      <c r="B1" s="4" t="inlineStr">
        <is>
          <t>Scheduled ($)</t>
        </is>
      </c>
      <c r="C1" s="4" t="inlineStr">
        <is>
          <t>Collected ($)</t>
        </is>
      </c>
      <c r="D1" s="4" t="inlineStr">
        <is>
          <t>Collection Rate</t>
        </is>
      </c>
    </row>
    <row r="2">
      <c r="A2" t="n">
        <v>-2940</v>
      </c>
      <c r="B2" t="n">
        <v>109758381.03</v>
      </c>
      <c r="C2" t="n">
        <v>104410199.07</v>
      </c>
      <c r="D2" t="n">
        <v>0.9512731336795301</v>
      </c>
    </row>
    <row r="3">
      <c r="A3" t="n">
        <v>-2910</v>
      </c>
      <c r="B3" t="n">
        <v>284822132.535</v>
      </c>
      <c r="C3" t="n">
        <v>271202900.49</v>
      </c>
      <c r="D3" t="n">
        <v>0.9521833787150427</v>
      </c>
    </row>
    <row r="4">
      <c r="A4" t="n">
        <v>-2880</v>
      </c>
      <c r="B4" t="n">
        <v>298991137.815</v>
      </c>
      <c r="C4" t="n">
        <v>284643760.995</v>
      </c>
      <c r="D4" t="n">
        <v>0.9520140398646952</v>
      </c>
    </row>
    <row r="5">
      <c r="A5" t="n">
        <v>-2850</v>
      </c>
      <c r="B5" t="n">
        <v>314802371.34</v>
      </c>
      <c r="C5" t="n">
        <v>299690214.615</v>
      </c>
      <c r="D5" t="n">
        <v>0.9519947811680294</v>
      </c>
    </row>
    <row r="6">
      <c r="A6" t="n">
        <v>-2820</v>
      </c>
      <c r="B6" t="n">
        <v>331455171.285</v>
      </c>
      <c r="C6" t="n">
        <v>315189216.135</v>
      </c>
      <c r="D6" t="n">
        <v>0.9509256256677503</v>
      </c>
    </row>
    <row r="7">
      <c r="A7" t="n">
        <v>-2790</v>
      </c>
      <c r="B7" t="n">
        <v>351337845.06</v>
      </c>
      <c r="C7" t="n">
        <v>333639349.56</v>
      </c>
      <c r="D7" t="n">
        <v>0.9496254225132578</v>
      </c>
    </row>
    <row r="8">
      <c r="A8" t="n">
        <v>-2760</v>
      </c>
      <c r="B8" t="n">
        <v>368232320.43</v>
      </c>
      <c r="C8" t="n">
        <v>350498097.585</v>
      </c>
      <c r="D8" t="n">
        <v>0.951839580989819</v>
      </c>
    </row>
    <row r="9">
      <c r="A9" t="n">
        <v>-2730</v>
      </c>
      <c r="B9" t="n">
        <v>390547283.22</v>
      </c>
      <c r="C9" t="n">
        <v>371404327.545</v>
      </c>
      <c r="D9" t="n">
        <v>0.9509842815518535</v>
      </c>
    </row>
    <row r="10">
      <c r="A10" t="n">
        <v>-2700</v>
      </c>
      <c r="B10" t="n">
        <v>417548171.79</v>
      </c>
      <c r="C10" t="n">
        <v>396766406.025</v>
      </c>
      <c r="D10" t="n">
        <v>0.9502290581804967</v>
      </c>
    </row>
    <row r="11">
      <c r="A11" t="n">
        <v>-2670</v>
      </c>
      <c r="B11" t="n">
        <v>437710009.365</v>
      </c>
      <c r="C11" t="n">
        <v>415216482.885</v>
      </c>
      <c r="D11" t="n">
        <v>0.9486108930599232</v>
      </c>
    </row>
    <row r="12">
      <c r="A12" t="n">
        <v>-2640</v>
      </c>
      <c r="B12" t="n">
        <v>462542523.345</v>
      </c>
      <c r="C12" t="n">
        <v>438879375.765</v>
      </c>
      <c r="D12" t="n">
        <v>0.9488411413314528</v>
      </c>
    </row>
    <row r="13">
      <c r="A13" t="n">
        <v>-2610</v>
      </c>
      <c r="B13" t="n">
        <v>495368954.865</v>
      </c>
      <c r="C13" t="n">
        <v>469476307.71</v>
      </c>
      <c r="D13" t="n">
        <v>0.9477305816185909</v>
      </c>
    </row>
    <row r="14">
      <c r="A14" t="n">
        <v>-2580</v>
      </c>
      <c r="B14" t="n">
        <v>524081584.485</v>
      </c>
      <c r="C14" t="n">
        <v>496710977.715</v>
      </c>
      <c r="D14" t="n">
        <v>0.9477741489487818</v>
      </c>
    </row>
    <row r="15">
      <c r="A15" t="n">
        <v>-2550</v>
      </c>
      <c r="B15" t="n">
        <v>550000578.825</v>
      </c>
      <c r="C15" t="n">
        <v>521285583.24</v>
      </c>
      <c r="D15" t="n">
        <v>0.9477909720634374</v>
      </c>
    </row>
    <row r="16">
      <c r="A16" t="n">
        <v>-2520</v>
      </c>
      <c r="B16" t="n">
        <v>592112716.515</v>
      </c>
      <c r="C16" t="n">
        <v>562491734.3099999</v>
      </c>
      <c r="D16" t="n">
        <v>0.949974081996853</v>
      </c>
    </row>
    <row r="17">
      <c r="A17" t="n">
        <v>-2490</v>
      </c>
      <c r="B17" t="n">
        <v>618547127.22</v>
      </c>
      <c r="C17" t="n">
        <v>584214148.08</v>
      </c>
      <c r="D17" t="n">
        <v>0.9444941579563934</v>
      </c>
    </row>
    <row r="18">
      <c r="A18" t="n">
        <v>-2460</v>
      </c>
      <c r="B18" t="n">
        <v>644288331.1950001</v>
      </c>
      <c r="C18" t="n">
        <v>607549641.165</v>
      </c>
      <c r="D18" t="n">
        <v>0.9429778745769636</v>
      </c>
    </row>
    <row r="19">
      <c r="A19" t="n">
        <v>-2430</v>
      </c>
      <c r="B19" t="n">
        <v>675155770.245</v>
      </c>
      <c r="C19" t="n">
        <v>635828599.215</v>
      </c>
      <c r="D19" t="n">
        <v>0.9417509665721602</v>
      </c>
    </row>
    <row r="20">
      <c r="A20" t="n">
        <v>-2400</v>
      </c>
      <c r="B20" t="n">
        <v>697588576.425</v>
      </c>
      <c r="C20" t="n">
        <v>655841373.885</v>
      </c>
      <c r="D20" t="n">
        <v>0.9401549796673192</v>
      </c>
    </row>
    <row r="21">
      <c r="A21" t="n">
        <v>-2370</v>
      </c>
      <c r="B21" t="n">
        <v>709925498.505</v>
      </c>
      <c r="C21" t="n">
        <v>666980736.12</v>
      </c>
      <c r="D21" t="n">
        <v>0.9395080716562013</v>
      </c>
    </row>
    <row r="22">
      <c r="A22" t="n">
        <v>-2340</v>
      </c>
      <c r="B22" t="n">
        <v>727562619.495</v>
      </c>
      <c r="C22" t="n">
        <v>682033675.6799999</v>
      </c>
      <c r="D22" t="n">
        <v>0.9374226457007898</v>
      </c>
    </row>
    <row r="23">
      <c r="A23" t="n">
        <v>-2310</v>
      </c>
      <c r="B23" t="n">
        <v>738041975.415</v>
      </c>
      <c r="C23" t="n">
        <v>692133658.29</v>
      </c>
      <c r="D23" t="n">
        <v>0.9377971461593552</v>
      </c>
    </row>
    <row r="24">
      <c r="A24" t="n">
        <v>-2280</v>
      </c>
      <c r="B24" t="n">
        <v>748329103.035</v>
      </c>
      <c r="C24" t="n">
        <v>700901972.145</v>
      </c>
      <c r="D24" t="n">
        <v>0.9366226294050978</v>
      </c>
    </row>
    <row r="25">
      <c r="A25" t="n">
        <v>-2250</v>
      </c>
      <c r="B25" t="n">
        <v>748979575.47</v>
      </c>
      <c r="C25" t="n">
        <v>701313493.275</v>
      </c>
      <c r="D25" t="n">
        <v>0.9363586354606684</v>
      </c>
    </row>
    <row r="26">
      <c r="A26" t="n">
        <v>-2220</v>
      </c>
      <c r="B26" t="n">
        <v>759507443.865</v>
      </c>
      <c r="C26" t="n">
        <v>710681997.96</v>
      </c>
      <c r="D26" t="n">
        <v>0.9357143286752585</v>
      </c>
    </row>
    <row r="27">
      <c r="A27" t="n">
        <v>-2190</v>
      </c>
      <c r="B27" t="n">
        <v>765212261.895</v>
      </c>
      <c r="C27" t="n">
        <v>717226591.095</v>
      </c>
      <c r="D27" t="n">
        <v>0.9372910325807293</v>
      </c>
    </row>
    <row r="28">
      <c r="A28" t="n">
        <v>-2160</v>
      </c>
      <c r="B28" t="n">
        <v>755886796.83</v>
      </c>
      <c r="C28" t="n">
        <v>704786415.615</v>
      </c>
      <c r="D28" t="n">
        <v>0.9323967802727839</v>
      </c>
    </row>
    <row r="29">
      <c r="A29" t="n">
        <v>-2130</v>
      </c>
      <c r="B29" t="n">
        <v>757912152.6</v>
      </c>
      <c r="C29" t="n">
        <v>707700248.505</v>
      </c>
      <c r="D29" t="n">
        <v>0.9337497044706973</v>
      </c>
    </row>
    <row r="30">
      <c r="A30" t="n">
        <v>-2100</v>
      </c>
      <c r="B30" t="n">
        <v>763398469.4400001</v>
      </c>
      <c r="C30" t="n">
        <v>710920528.425</v>
      </c>
      <c r="D30" t="n">
        <v>0.9312574715358076</v>
      </c>
    </row>
    <row r="31">
      <c r="A31" t="n">
        <v>-2070</v>
      </c>
      <c r="B31" t="n">
        <v>755748808.245</v>
      </c>
      <c r="C31" t="n">
        <v>703145629.8</v>
      </c>
      <c r="D31" t="n">
        <v>0.9303959491948718</v>
      </c>
    </row>
    <row r="32">
      <c r="A32" t="n">
        <v>-2040</v>
      </c>
      <c r="B32" t="n">
        <v>759687122.88</v>
      </c>
      <c r="C32" t="n">
        <v>706392683.865</v>
      </c>
      <c r="D32" t="n">
        <v>0.9298468574629001</v>
      </c>
    </row>
    <row r="33">
      <c r="A33" t="n">
        <v>-2010</v>
      </c>
      <c r="B33" t="n">
        <v>759954611.88</v>
      </c>
      <c r="C33" t="n">
        <v>709091430.03</v>
      </c>
      <c r="D33" t="n">
        <v>0.9330707636286685</v>
      </c>
    </row>
    <row r="34">
      <c r="A34" t="n">
        <v>-1980</v>
      </c>
      <c r="B34" t="n">
        <v>763837993.4400001</v>
      </c>
      <c r="C34" t="n">
        <v>709421641.5599999</v>
      </c>
      <c r="D34" t="n">
        <v>0.9287593019104324</v>
      </c>
    </row>
    <row r="35">
      <c r="A35" t="n">
        <v>-1950</v>
      </c>
      <c r="B35" t="n">
        <v>766595467.71</v>
      </c>
      <c r="C35" t="n">
        <v>710687848.6799999</v>
      </c>
      <c r="D35" t="n">
        <v>0.9270702458012057</v>
      </c>
    </row>
    <row r="36">
      <c r="A36" t="n">
        <v>-1920</v>
      </c>
      <c r="B36" t="n">
        <v>768827064.24</v>
      </c>
      <c r="C36" t="n">
        <v>711833931.09</v>
      </c>
      <c r="D36" t="n">
        <v>0.9258700222704325</v>
      </c>
    </row>
    <row r="37">
      <c r="A37" t="n">
        <v>-1890</v>
      </c>
      <c r="B37" t="n">
        <v>772269972.525</v>
      </c>
      <c r="C37" t="n">
        <v>713951754.255</v>
      </c>
      <c r="D37" t="n">
        <v>0.9244846746024272</v>
      </c>
    </row>
    <row r="38">
      <c r="A38" t="n">
        <v>-1860</v>
      </c>
      <c r="B38" t="n">
        <v>773735484.1950001</v>
      </c>
      <c r="C38" t="n">
        <v>714652758.045</v>
      </c>
      <c r="D38" t="n">
        <v>0.9236396322039305</v>
      </c>
    </row>
    <row r="39">
      <c r="A39" t="n">
        <v>-1830</v>
      </c>
      <c r="B39" t="n">
        <v>778416960.6900001</v>
      </c>
      <c r="C39" t="n">
        <v>718546283.01</v>
      </c>
      <c r="D39" t="n">
        <v>0.9230866223329335</v>
      </c>
    </row>
    <row r="40">
      <c r="A40" t="n">
        <v>-1800</v>
      </c>
      <c r="B40" t="n">
        <v>792892269.72</v>
      </c>
      <c r="C40" t="n">
        <v>731655982.9349999</v>
      </c>
      <c r="D40" t="n">
        <v>0.9227684653721937</v>
      </c>
    </row>
    <row r="41">
      <c r="A41" t="n">
        <v>-1770</v>
      </c>
      <c r="B41" t="n">
        <v>794191991.3099999</v>
      </c>
      <c r="C41" t="n">
        <v>735212241.045</v>
      </c>
      <c r="D41" t="n">
        <v>0.9257361558535558</v>
      </c>
    </row>
    <row r="42">
      <c r="A42" t="n">
        <v>-1740</v>
      </c>
      <c r="B42" t="n">
        <v>807693957.9450001</v>
      </c>
      <c r="C42" t="n">
        <v>747969257.52</v>
      </c>
      <c r="D42" t="n">
        <v>0.9260552838887683</v>
      </c>
    </row>
    <row r="43">
      <c r="A43" t="n">
        <v>-1710</v>
      </c>
      <c r="B43" t="n">
        <v>827602353.495</v>
      </c>
      <c r="C43" t="n">
        <v>767230951.05</v>
      </c>
      <c r="D43" t="n">
        <v>0.9270526452830287</v>
      </c>
    </row>
    <row r="44">
      <c r="A44" t="n">
        <v>-1680</v>
      </c>
      <c r="B44" t="n">
        <v>846071733.1950001</v>
      </c>
      <c r="C44" t="n">
        <v>787104372.78</v>
      </c>
      <c r="D44" t="n">
        <v>0.9303045378997321</v>
      </c>
    </row>
    <row r="45">
      <c r="A45" t="n">
        <v>-1650</v>
      </c>
      <c r="B45" t="n">
        <v>861643790.865</v>
      </c>
      <c r="C45" t="n">
        <v>802392251.085</v>
      </c>
      <c r="D45" t="n">
        <v>0.9312342984326299</v>
      </c>
    </row>
    <row r="46">
      <c r="A46" t="n">
        <v>-1620</v>
      </c>
      <c r="B46" t="n">
        <v>881742753.045</v>
      </c>
      <c r="C46" t="n">
        <v>820972928.115</v>
      </c>
      <c r="D46" t="n">
        <v>0.9310798702681273</v>
      </c>
    </row>
    <row r="47">
      <c r="A47" t="n">
        <v>-1590</v>
      </c>
      <c r="B47" t="n">
        <v>910235963.88</v>
      </c>
      <c r="C47" t="n">
        <v>849211728.705</v>
      </c>
      <c r="D47" t="n">
        <v>0.9329577850177704</v>
      </c>
    </row>
    <row r="48">
      <c r="A48" t="n">
        <v>-1560</v>
      </c>
      <c r="B48" t="n">
        <v>938623662.9450001</v>
      </c>
      <c r="C48" t="n">
        <v>876360034.71</v>
      </c>
      <c r="D48" t="n">
        <v>0.9336649706447381</v>
      </c>
    </row>
    <row r="49">
      <c r="A49" t="n">
        <v>-1530</v>
      </c>
      <c r="B49" t="n">
        <v>966515131.98</v>
      </c>
      <c r="C49" t="n">
        <v>907318240.83</v>
      </c>
      <c r="D49" t="n">
        <v>0.9387522355405554</v>
      </c>
    </row>
    <row r="50">
      <c r="A50" t="n">
        <v>-1500</v>
      </c>
      <c r="B50" t="n">
        <v>1005655909.41</v>
      </c>
      <c r="C50" t="n">
        <v>942277851.585</v>
      </c>
      <c r="D50" t="n">
        <v>0.9369783867106367</v>
      </c>
    </row>
    <row r="51">
      <c r="A51" t="n">
        <v>-1470</v>
      </c>
      <c r="B51" t="n">
        <v>1045357855.335</v>
      </c>
      <c r="C51" t="n">
        <v>981797856.615</v>
      </c>
      <c r="D51" t="n">
        <v>0.9391978561258993</v>
      </c>
    </row>
    <row r="52">
      <c r="A52" t="n">
        <v>-1440</v>
      </c>
      <c r="B52" t="n">
        <v>1079394663.465</v>
      </c>
      <c r="C52" t="n">
        <v>1014530029.38</v>
      </c>
      <c r="D52" t="n">
        <v>0.939906471395017</v>
      </c>
    </row>
    <row r="53">
      <c r="A53" t="n">
        <v>-1410</v>
      </c>
      <c r="B53" t="n">
        <v>1121578343.19</v>
      </c>
      <c r="C53" t="n">
        <v>1054141812.315</v>
      </c>
      <c r="D53" t="n">
        <v>0.9398735440243999</v>
      </c>
    </row>
    <row r="54">
      <c r="A54" t="n">
        <v>-1380</v>
      </c>
      <c r="B54" t="n">
        <v>1170130655.475</v>
      </c>
      <c r="C54" t="n">
        <v>1103213491.92</v>
      </c>
      <c r="D54" t="n">
        <v>0.9428122293507167</v>
      </c>
    </row>
    <row r="55">
      <c r="A55" t="n">
        <v>-1350</v>
      </c>
      <c r="B55" t="n">
        <v>1206598101.255</v>
      </c>
      <c r="C55" t="n">
        <v>1138082837.76</v>
      </c>
      <c r="D55" t="n">
        <v>0.9432161683134289</v>
      </c>
    </row>
    <row r="56">
      <c r="A56" t="n">
        <v>-1320</v>
      </c>
      <c r="B56" t="n">
        <v>1246543761.6</v>
      </c>
      <c r="C56" t="n">
        <v>1175363912.34</v>
      </c>
      <c r="D56" t="n">
        <v>0.9428982347409631</v>
      </c>
    </row>
    <row r="57">
      <c r="A57" t="n">
        <v>-1290</v>
      </c>
      <c r="B57" t="n">
        <v>1314406870.92</v>
      </c>
      <c r="C57" t="n">
        <v>1243861353.675</v>
      </c>
      <c r="D57" t="n">
        <v>0.9463290105934833</v>
      </c>
    </row>
    <row r="58">
      <c r="A58" t="n">
        <v>-1260</v>
      </c>
      <c r="B58" t="n">
        <v>1370310301.17</v>
      </c>
      <c r="C58" t="n">
        <v>1300240226.52</v>
      </c>
      <c r="D58" t="n">
        <v>0.9488655419212912</v>
      </c>
    </row>
    <row r="59">
      <c r="A59" t="n">
        <v>-1230</v>
      </c>
      <c r="B59" t="n">
        <v>1427090101.56</v>
      </c>
      <c r="C59" t="n">
        <v>1357648350.03</v>
      </c>
      <c r="D59" t="n">
        <v>0.9513403172973516</v>
      </c>
    </row>
    <row r="60">
      <c r="A60" t="n">
        <v>-1200</v>
      </c>
      <c r="B60" t="n">
        <v>1515665260.845</v>
      </c>
      <c r="C60" t="n">
        <v>1447328216.07</v>
      </c>
      <c r="D60" t="n">
        <v>0.9549128382497192</v>
      </c>
    </row>
    <row r="61">
      <c r="A61" t="n">
        <v>-1170</v>
      </c>
      <c r="B61" t="n">
        <v>1588325955.75</v>
      </c>
      <c r="C61" t="n">
        <v>1520661454.155</v>
      </c>
      <c r="D61" t="n">
        <v>0.957398856733378</v>
      </c>
    </row>
    <row r="62">
      <c r="A62" t="n">
        <v>-1140</v>
      </c>
      <c r="B62" t="n">
        <v>1657403444.07</v>
      </c>
      <c r="C62" t="n">
        <v>1589427570.465</v>
      </c>
      <c r="D62" t="n">
        <v>0.9589865256717005</v>
      </c>
    </row>
    <row r="63">
      <c r="A63" t="n">
        <v>-1110</v>
      </c>
      <c r="B63" t="n">
        <v>1786715111.07</v>
      </c>
      <c r="C63" t="n">
        <v>1719588649.725</v>
      </c>
      <c r="D63" t="n">
        <v>0.9624302380781901</v>
      </c>
    </row>
    <row r="64">
      <c r="A64" t="n">
        <v>-1080</v>
      </c>
      <c r="B64" t="n">
        <v>1933788324.735</v>
      </c>
      <c r="C64" t="n">
        <v>1867732412.94</v>
      </c>
      <c r="D64" t="n">
        <v>0.9658411880193496</v>
      </c>
    </row>
    <row r="65">
      <c r="A65" t="n">
        <v>-1050</v>
      </c>
      <c r="B65" t="n">
        <v>2081118564.54</v>
      </c>
      <c r="C65" t="n">
        <v>2016911686.005</v>
      </c>
      <c r="D65" t="n">
        <v>0.9691478997741814</v>
      </c>
    </row>
    <row r="66">
      <c r="A66" t="n">
        <v>-1020</v>
      </c>
      <c r="B66" t="n">
        <v>2246453730.765</v>
      </c>
      <c r="C66" t="n">
        <v>2188008230.31</v>
      </c>
      <c r="D66" t="n">
        <v>0.9739832164559663</v>
      </c>
    </row>
    <row r="67">
      <c r="A67" t="n">
        <v>-990</v>
      </c>
      <c r="B67" t="n">
        <v>2414286868.23</v>
      </c>
      <c r="C67" t="n">
        <v>2373590361.105</v>
      </c>
      <c r="D67" t="n">
        <v>0.9831434666441126</v>
      </c>
    </row>
    <row r="68">
      <c r="A68" t="n">
        <v>-960</v>
      </c>
      <c r="B68" t="n">
        <v>2644851872.25</v>
      </c>
      <c r="C68" t="n">
        <v>2617574807.88</v>
      </c>
      <c r="D68" t="n">
        <v>0.9896867326839007</v>
      </c>
    </row>
    <row r="69">
      <c r="A69" t="n">
        <v>-930</v>
      </c>
      <c r="B69" t="n">
        <v>2812509904.455</v>
      </c>
      <c r="C69" t="n">
        <v>2790818345.52</v>
      </c>
      <c r="D69" t="n">
        <v>0.9922874728723121</v>
      </c>
    </row>
    <row r="70">
      <c r="A70" t="n">
        <v>-900</v>
      </c>
      <c r="B70" t="n">
        <v>3020549134.68</v>
      </c>
      <c r="C70" t="n">
        <v>3021987186.45</v>
      </c>
      <c r="D70" t="n">
        <v>1.000476089514151</v>
      </c>
    </row>
    <row r="71">
      <c r="A71" t="n">
        <v>-870</v>
      </c>
      <c r="B71" t="n">
        <v>3252311990.73</v>
      </c>
      <c r="C71" t="n">
        <v>3252601818.675</v>
      </c>
      <c r="D71" t="n">
        <v>1.000089114434847</v>
      </c>
    </row>
    <row r="72">
      <c r="A72" t="n">
        <v>-840</v>
      </c>
      <c r="B72" t="n">
        <v>3430861737.3</v>
      </c>
      <c r="C72" t="n">
        <v>3444992573.445</v>
      </c>
      <c r="D72" t="n">
        <v>1.004118742527969</v>
      </c>
    </row>
    <row r="73">
      <c r="A73" t="n">
        <v>-810</v>
      </c>
      <c r="B73" t="n">
        <v>3648085155.18</v>
      </c>
      <c r="C73" t="n">
        <v>3669707896.02</v>
      </c>
      <c r="D73" t="n">
        <v>1.005927148057193</v>
      </c>
    </row>
    <row r="74">
      <c r="A74" t="n">
        <v>-780</v>
      </c>
      <c r="B74" t="n">
        <v>3924410835.195</v>
      </c>
      <c r="C74" t="n">
        <v>3988252791.36</v>
      </c>
      <c r="D74" t="n">
        <v>1.016267908444358</v>
      </c>
    </row>
    <row r="75">
      <c r="A75" t="n">
        <v>-750</v>
      </c>
      <c r="B75" t="n">
        <v>4246677454.68</v>
      </c>
      <c r="C75" t="n">
        <v>4329568659.465</v>
      </c>
      <c r="D75" t="n">
        <v>1.01951907242064</v>
      </c>
    </row>
    <row r="76">
      <c r="A76" t="n">
        <v>-720</v>
      </c>
      <c r="B76" t="n">
        <v>4555682249.13</v>
      </c>
      <c r="C76" t="n">
        <v>4669980677.865</v>
      </c>
      <c r="D76" t="n">
        <v>1.025089201240237</v>
      </c>
    </row>
    <row r="77">
      <c r="A77" t="n">
        <v>-690</v>
      </c>
      <c r="B77" t="n">
        <v>4744093554.36</v>
      </c>
      <c r="C77" t="n">
        <v>4860098208.765</v>
      </c>
      <c r="D77" t="n">
        <v>1.024452438189881</v>
      </c>
    </row>
    <row r="78">
      <c r="A78" t="n">
        <v>-660</v>
      </c>
      <c r="B78" t="n">
        <v>5047055319.42</v>
      </c>
      <c r="C78" t="n">
        <v>5171074440.21</v>
      </c>
      <c r="D78" t="n">
        <v>1.024572570130706</v>
      </c>
    </row>
    <row r="79">
      <c r="A79" t="n">
        <v>-630</v>
      </c>
      <c r="B79" t="n">
        <v>5242284718.47</v>
      </c>
      <c r="C79" t="n">
        <v>5392921918.635</v>
      </c>
      <c r="D79" t="n">
        <v>1.02873502838071</v>
      </c>
    </row>
    <row r="80">
      <c r="A80" t="n">
        <v>-600</v>
      </c>
      <c r="B80" t="n">
        <v>5409186712.515</v>
      </c>
      <c r="C80" t="n">
        <v>5574318538.905</v>
      </c>
      <c r="D80" t="n">
        <v>1.030528032247055</v>
      </c>
    </row>
    <row r="81">
      <c r="A81" t="n">
        <v>-570</v>
      </c>
      <c r="B81" t="n">
        <v>5658841507.005</v>
      </c>
      <c r="C81" t="n">
        <v>5855165473.14</v>
      </c>
      <c r="D81" t="n">
        <v>1.034693314151311</v>
      </c>
    </row>
    <row r="82">
      <c r="A82" t="n">
        <v>-540</v>
      </c>
      <c r="B82" t="n">
        <v>5865517778.895</v>
      </c>
      <c r="C82" t="n">
        <v>6074764555.23</v>
      </c>
      <c r="D82" t="n">
        <v>1.035674050309403</v>
      </c>
    </row>
    <row r="83">
      <c r="A83" t="n">
        <v>-510</v>
      </c>
      <c r="B83" t="n">
        <v>6102826237.98</v>
      </c>
      <c r="C83" t="n">
        <v>6315376477.5</v>
      </c>
      <c r="D83" t="n">
        <v>1.03482816505527</v>
      </c>
    </row>
    <row r="84">
      <c r="A84" t="n">
        <v>-480</v>
      </c>
      <c r="B84" t="n">
        <v>6270306951.465</v>
      </c>
      <c r="C84" t="n">
        <v>6496667637.21</v>
      </c>
      <c r="D84" t="n">
        <v>1.036100415417799</v>
      </c>
    </row>
    <row r="85">
      <c r="A85" t="n">
        <v>-450</v>
      </c>
      <c r="B85" t="n">
        <v>6441088725</v>
      </c>
      <c r="C85" t="n">
        <v>6678858113.235</v>
      </c>
      <c r="D85" t="n">
        <v>1.036914471820911</v>
      </c>
    </row>
    <row r="86">
      <c r="A86" t="n">
        <v>-420</v>
      </c>
      <c r="B86" t="n">
        <v>6604120996.56</v>
      </c>
      <c r="C86" t="n">
        <v>6860053089.27</v>
      </c>
      <c r="D86" t="n">
        <v>1.038753392441373</v>
      </c>
    </row>
    <row r="87">
      <c r="A87" t="n">
        <v>-390</v>
      </c>
      <c r="B87" t="n">
        <v>6811357736.205</v>
      </c>
      <c r="C87" t="n">
        <v>7084505552.85</v>
      </c>
      <c r="D87" t="n">
        <v>1.040101816293265</v>
      </c>
    </row>
    <row r="88">
      <c r="A88" t="n">
        <v>-360</v>
      </c>
      <c r="B88" t="n">
        <v>6913682745.345</v>
      </c>
      <c r="C88" t="n">
        <v>7213016047.725</v>
      </c>
      <c r="D88" t="n">
        <v>1.043295782205445</v>
      </c>
    </row>
    <row r="89">
      <c r="A89" t="n">
        <v>-330</v>
      </c>
      <c r="B89" t="n">
        <v>7059710853.405</v>
      </c>
      <c r="C89" t="n">
        <v>7372797880.68</v>
      </c>
      <c r="D89" t="n">
        <v>1.044348420746438</v>
      </c>
    </row>
    <row r="90">
      <c r="A90" t="n">
        <v>-300</v>
      </c>
      <c r="B90" t="n">
        <v>7131460538.205</v>
      </c>
      <c r="C90" t="n">
        <v>7448419282.005</v>
      </c>
      <c r="D90" t="n">
        <v>1.044445137444423</v>
      </c>
    </row>
    <row r="91">
      <c r="A91" t="n">
        <v>-270</v>
      </c>
      <c r="B91" t="n">
        <v>7103997720.945</v>
      </c>
      <c r="C91" t="n">
        <v>7420915246.005</v>
      </c>
      <c r="D91" t="n">
        <v>1.044611152411496</v>
      </c>
    </row>
    <row r="92">
      <c r="A92" t="n">
        <v>-240</v>
      </c>
      <c r="B92" t="n">
        <v>7217098709.49</v>
      </c>
      <c r="C92" t="n">
        <v>7583845103.775</v>
      </c>
      <c r="D92" t="n">
        <v>1.050816319555496</v>
      </c>
    </row>
    <row r="93">
      <c r="A93" t="n">
        <v>-210</v>
      </c>
      <c r="B93" t="n">
        <v>7129332600.345</v>
      </c>
      <c r="C93" t="n">
        <v>7501582763.325</v>
      </c>
      <c r="D93" t="n">
        <v>1.052213886467015</v>
      </c>
    </row>
    <row r="94">
      <c r="A94" t="n">
        <v>-180</v>
      </c>
      <c r="B94" t="n">
        <v>6942222133.47</v>
      </c>
      <c r="C94" t="n">
        <v>7310310784.29</v>
      </c>
      <c r="D94" t="n">
        <v>1.053021733350387</v>
      </c>
    </row>
    <row r="95">
      <c r="A95" t="n">
        <v>-150</v>
      </c>
      <c r="B95" t="n">
        <v>6460932695.355</v>
      </c>
      <c r="C95" t="n">
        <v>6747203849.85</v>
      </c>
      <c r="D95" t="n">
        <v>1.044308023004296</v>
      </c>
    </row>
    <row r="96">
      <c r="A96" t="n">
        <v>-120</v>
      </c>
      <c r="B96" t="n">
        <v>6201571557.915</v>
      </c>
      <c r="C96" t="n">
        <v>6463023083.01</v>
      </c>
      <c r="D96" t="n">
        <v>1.042158914503101</v>
      </c>
    </row>
    <row r="97">
      <c r="A97" t="n">
        <v>-90</v>
      </c>
      <c r="B97" t="n">
        <v>5834949316.29</v>
      </c>
      <c r="C97" t="n">
        <v>6051232609.425</v>
      </c>
      <c r="D97" t="n">
        <v>1.03706686749295</v>
      </c>
    </row>
    <row r="98">
      <c r="A98" t="n">
        <v>-60</v>
      </c>
      <c r="B98" t="n">
        <v>5341509673.83</v>
      </c>
      <c r="C98" t="n">
        <v>5471086890.555</v>
      </c>
      <c r="D98" t="n">
        <v>1.024258538248062</v>
      </c>
    </row>
    <row r="99">
      <c r="A99" t="n">
        <v>-30</v>
      </c>
      <c r="B99" t="n">
        <v>4138580081.475</v>
      </c>
      <c r="C99" t="n">
        <v>4182964232.22</v>
      </c>
      <c r="D99" t="n">
        <v>1.010724487595074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sufficient_real_historical_periods</t>
        </is>
      </c>
      <c r="B2" t="inlineStr">
        <is>
          <t>PASS</t>
        </is>
      </c>
    </row>
    <row r="3">
      <c r="A3" t="inlineStr">
        <is>
          <t>anchor_scheduled_cash_positive</t>
        </is>
      </c>
      <c r="B3" t="inlineStr">
        <is>
          <t>PASS</t>
        </is>
      </c>
    </row>
    <row r="4">
      <c r="A4" t="inlineStr">
        <is>
          <t>mc_reconciles_with_closed_form_30d</t>
        </is>
      </c>
      <c r="B4" t="inlineStr">
        <is>
          <t>PASS</t>
        </is>
      </c>
    </row>
    <row r="5">
      <c r="A5" t="inlineStr">
        <is>
          <t>percentiles_ordered_30d</t>
        </is>
      </c>
      <c r="B5" t="inlineStr">
        <is>
          <t>PASS</t>
        </is>
      </c>
    </row>
    <row r="6">
      <c r="A6" t="inlineStr">
        <is>
          <t>mc_reconciles_with_closed_form_60d</t>
        </is>
      </c>
      <c r="B6" t="inlineStr">
        <is>
          <t>PASS</t>
        </is>
      </c>
    </row>
    <row r="7">
      <c r="A7" t="inlineStr">
        <is>
          <t>percentiles_ordered_60d</t>
        </is>
      </c>
      <c r="B7" t="inlineStr">
        <is>
          <t>PASS</t>
        </is>
      </c>
    </row>
    <row r="8">
      <c r="A8" t="inlineStr">
        <is>
          <t>mc_reconciles_with_closed_form_90d</t>
        </is>
      </c>
      <c r="B8" t="inlineStr">
        <is>
          <t>PASS</t>
        </is>
      </c>
    </row>
    <row r="9">
      <c r="A9" t="inlineStr">
        <is>
          <t>percentiles_ordered_90d</t>
        </is>
      </c>
      <c r="B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90-Day Median Expected Inflow ($)</t>
        </is>
      </c>
      <c r="B2" t="n">
        <v>14854340933.22366</v>
      </c>
    </row>
    <row r="3">
      <c r="A3" t="inlineStr">
        <is>
          <t>90-Day 5th Pct CFaR ($)</t>
        </is>
      </c>
      <c r="B3" t="n">
        <v>14324059697.74461</v>
      </c>
    </row>
    <row r="4">
      <c r="A4" t="inlineStr">
        <is>
          <t>90-Day Downside vs Median ($, =C1-C2)</t>
        </is>
      </c>
      <c r="B4">
        <f>14854340933.223661-14324059697.744614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6" t="n">
        <v>1</v>
      </c>
      <c r="B2" s="6" t="inlineStr">
        <is>
          <t>Real Cash-Flow-at-Risk is quantified, not asserted, at every horizon</t>
        </is>
      </c>
      <c r="C2" s="6" t="inlineStr">
        <is>
          <t>5th-percentile real CFaR at 30/60/90 days: $4,726,578,522 / $9,512,407,214 / $14,324,059,698.</t>
        </is>
      </c>
      <c r="D2" s="6" t="inlineStr">
        <is>
          <t>20,000 real vectorized Monte Carlo draws per horizon, bootstrap-resampled from 98 real historical per-period collection rates.</t>
        </is>
      </c>
      <c r="E2" s="6" t="inlineStr">
        <is>
          <t>Reuses Notebook 01's real period reconstruction directly (HYPER) -- no new data pipeline built.</t>
        </is>
      </c>
      <c r="F2" s="6" t="inlineStr">
        <is>
          <t>Gives a treasury/ALM function a real, disclosed worst-case cash-inflow band, not a single point estimate.</t>
        </is>
      </c>
      <c r="G2" s="6" t="inlineStr">
        <is>
          <t>Recompute after each new data refresh; the near-term scheduled-cash assumption should be revisited each time, not left stale.</t>
        </is>
      </c>
    </row>
    <row r="3" ht="45" customHeight="1">
      <c r="A3" s="7" t="n">
        <v>2</v>
      </c>
      <c r="B3" s="7" t="inlineStr">
        <is>
          <t>The simulation is verified against its own closed-form expectation</t>
        </is>
      </c>
      <c r="C3" s="7" t="inlineStr">
        <is>
          <t>Monte Carlo sample mean reconciled with the real closed-form expectation at all 3 horizons, within a 2% documented tolerance.</t>
        </is>
      </c>
      <c r="D3" s="7" t="inlineStr">
        <is>
          <t>Real relative-difference check, printed and logged per horizon (Section 3).</t>
        </is>
      </c>
      <c r="E3" s="7" t="inlineStr">
        <is>
          <t>Same real cross-check discipline as Mega Project 2 Notebook 03's Monte Carlo vs. closed-form check (Lesson #6).</t>
        </is>
      </c>
      <c r="F3" s="7" t="inlineStr">
        <is>
          <t>Confirms the vectorized batch simulation has no structural bug before its percentiles are trusted.</t>
        </is>
      </c>
      <c r="G3" s="7" t="inlineStr">
        <is>
          <t>Re-verified automatically every time this notebook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2026-09-02T13:52:03Z</dcterms:created>
  <dcterms:modified xmlns:dcterms="http://purl.org/dc/terms/" xmlns:xsi="http://www.w3.org/2001/XMLSchema-instance" xsi:type="dcterms:W3CDTF">2026-09-02T13:52:03Z</dcterms:modified>
</cp:coreProperties>
</file>