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and RWA Density" sheetId="2" state="visible" r:id="rId2"/>
    <sheet xmlns:r="http://schemas.openxmlformats.org/officeDocument/2006/relationships" name="Segment RWA Analytics" sheetId="3" state="visible" r:id="rId3"/>
    <sheet xmlns:r="http://schemas.openxmlformats.org/officeDocument/2006/relationships" name="Portfolio Summary" sheetId="4" state="visible" r:id="rId4"/>
    <sheet xmlns:r="http://schemas.openxmlformats.org/officeDocument/2006/relationships" name="SMART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3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andRWADensity" displayName="TBandRWADensity" ref="A1:F6" headerRowCount="1">
  <autoFilter ref="A1:F6"/>
  <tableColumns count="6">
    <tableColumn id="1" name="PD_RISK_BAND"/>
    <tableColumn id="2" name="n_applicants"/>
    <tableColumn id="3" name="total_ead"/>
    <tableColumn id="4" name="total_rwa"/>
    <tableColumn id="5" name="real_default_rate"/>
    <tableColumn id="6" name="rwa_density"/>
  </tableColumns>
  <tableStyleInfo name="TableStyleMedium2" showRowStripes="1"/>
</table>
</file>

<file path=xl/tables/table2.xml><?xml version="1.0" encoding="utf-8"?>
<table xmlns="http://schemas.openxmlformats.org/spreadsheetml/2006/main" id="2" name="TSegmentRWAAnalytics" displayName="TSegmentRWAAnalytics" ref="A1:K15" headerRowCount="1">
  <autoFilter ref="A1:K15"/>
  <tableColumns count="11">
    <tableColumn id="1" name="dimension"/>
    <tableColumn id="2" name="segment_value"/>
    <tableColumn id="3" name="n_applicants"/>
    <tableColumn id="4" name="total_ead"/>
    <tableColumn id="5" name="total_el"/>
    <tableColumn id="6" name="total_rwa"/>
    <tableColumn id="7" name="total_capital_requirement"/>
    <tableColumn id="8" name="real_default_rate"/>
    <tableColumn id="9" name="rwa_density"/>
    <tableColumn id="10" name="el_rate"/>
    <tableColumn id="11" name="capital_ra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RWA density definition</t>
        </is>
      </c>
      <c r="B2" s="2" t="inlineStr">
        <is>
          <t>Total RWA / Total EAD (Basel Pillar 3 comparability metric)</t>
        </is>
      </c>
      <c r="C2" t="inlineStr">
        <is>
          <t>[BCBS06] Pillar 3 disclosure convention -- RWA density lets portfolios of different size be compared on a like-for-like basis; not itself a regulatory limit.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21" customWidth="1" min="5" max="5"/>
    <col width="15" customWidth="1" min="6" max="6"/>
  </cols>
  <sheetData>
    <row r="1">
      <c r="A1" s="3" t="inlineStr">
        <is>
          <t>PD_RISK_BAND</t>
        </is>
      </c>
      <c r="B1" s="3" t="inlineStr">
        <is>
          <t>n_applicants</t>
        </is>
      </c>
      <c r="C1" s="3" t="inlineStr">
        <is>
          <t>total_ead</t>
        </is>
      </c>
      <c r="D1" s="3" t="inlineStr">
        <is>
          <t>total_rwa</t>
        </is>
      </c>
      <c r="E1" s="3" t="inlineStr">
        <is>
          <t>real_default_rate</t>
        </is>
      </c>
      <c r="F1" s="3" t="inlineStr">
        <is>
          <t>rwa_density</t>
        </is>
      </c>
    </row>
    <row r="2">
      <c r="A2" t="inlineStr">
        <is>
          <t>Lowest Risk</t>
        </is>
      </c>
      <c r="B2" t="n">
        <v>904</v>
      </c>
      <c r="C2" t="n">
        <v>386144957.0300006</v>
      </c>
      <c r="D2" t="n">
        <v>210222793.627318</v>
      </c>
      <c r="E2" t="n">
        <v>0.01106194690265487</v>
      </c>
      <c r="F2" t="n">
        <v>0.5444141890243183</v>
      </c>
    </row>
    <row r="3">
      <c r="A3" t="inlineStr">
        <is>
          <t>Low Risk</t>
        </is>
      </c>
      <c r="B3" t="n">
        <v>1296</v>
      </c>
      <c r="C3" t="n">
        <v>573988050.2999998</v>
      </c>
      <c r="D3" t="n">
        <v>416633528.7634293</v>
      </c>
      <c r="E3" t="n">
        <v>0.01774691358024691</v>
      </c>
      <c r="F3" t="n">
        <v>0.7258574957190697</v>
      </c>
    </row>
    <row r="4">
      <c r="A4" t="inlineStr">
        <is>
          <t>Moderate Risk</t>
        </is>
      </c>
      <c r="B4" t="n">
        <v>1012</v>
      </c>
      <c r="C4" t="n">
        <v>425195242.65</v>
      </c>
      <c r="D4" t="n">
        <v>397533447.8166753</v>
      </c>
      <c r="E4" t="n">
        <v>0.04051383399209486</v>
      </c>
      <c r="F4" t="n">
        <v>0.9349433106049717</v>
      </c>
    </row>
    <row r="5">
      <c r="A5" t="inlineStr">
        <is>
          <t>High Risk</t>
        </is>
      </c>
      <c r="B5" t="n">
        <v>205</v>
      </c>
      <c r="C5" t="n">
        <v>85274957.49000001</v>
      </c>
      <c r="D5" t="n">
        <v>98029497.1039578</v>
      </c>
      <c r="E5" t="n">
        <v>0.224390243902439</v>
      </c>
      <c r="F5" t="n">
        <v>1.149569580441638</v>
      </c>
    </row>
    <row r="6">
      <c r="A6" t="inlineStr">
        <is>
          <t>Highest Risk</t>
        </is>
      </c>
      <c r="B6" t="n">
        <v>583</v>
      </c>
      <c r="C6" t="n">
        <v>255577287.7900002</v>
      </c>
      <c r="D6" t="n">
        <v>240524923.6409796</v>
      </c>
      <c r="E6" t="n">
        <v>0.9639794168096055</v>
      </c>
      <c r="F6" t="n">
        <v>0.9411044530631818</v>
      </c>
    </row>
  </sheetData>
  <conditionalFormatting sqref="F2:F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14" customWidth="1" min="4" max="4"/>
    <col width="14" customWidth="1" min="5" max="5"/>
    <col width="14" customWidth="1" min="6" max="6"/>
    <col width="29" customWidth="1" min="7" max="7"/>
    <col width="21" customWidth="1" min="8" max="8"/>
    <col width="15" customWidth="1" min="9" max="9"/>
    <col width="14" customWidth="1" min="10" max="10"/>
    <col width="16" customWidth="1" min="11" max="11"/>
  </cols>
  <sheetData>
    <row r="1">
      <c r="A1" s="4" t="inlineStr">
        <is>
          <t>dimension</t>
        </is>
      </c>
      <c r="B1" s="4" t="inlineStr">
        <is>
          <t>segment_value</t>
        </is>
      </c>
      <c r="C1" s="4" t="inlineStr">
        <is>
          <t>n_applicants</t>
        </is>
      </c>
      <c r="D1" s="4" t="inlineStr">
        <is>
          <t>total_ead</t>
        </is>
      </c>
      <c r="E1" s="4" t="inlineStr">
        <is>
          <t>total_el</t>
        </is>
      </c>
      <c r="F1" s="4" t="inlineStr">
        <is>
          <t>total_rwa</t>
        </is>
      </c>
      <c r="G1" s="4" t="inlineStr">
        <is>
          <t>total_capital_requirement</t>
        </is>
      </c>
      <c r="H1" s="4" t="inlineStr">
        <is>
          <t>real_default_rate</t>
        </is>
      </c>
      <c r="I1" s="4" t="inlineStr">
        <is>
          <t>rwa_density</t>
        </is>
      </c>
      <c r="J1" s="4" t="inlineStr">
        <is>
          <t>el_rate</t>
        </is>
      </c>
      <c r="K1" s="4" t="inlineStr">
        <is>
          <t>capital_rate</t>
        </is>
      </c>
    </row>
    <row r="2">
      <c r="A2" t="inlineStr">
        <is>
          <t>NAME_INCOME_TYPE</t>
        </is>
      </c>
      <c r="B2" t="inlineStr">
        <is>
          <t>Commercial associate</t>
        </is>
      </c>
      <c r="C2" t="n">
        <v>821</v>
      </c>
      <c r="D2" t="n">
        <v>361872812.8900003</v>
      </c>
      <c r="E2" t="n">
        <v>20483178.17150212</v>
      </c>
      <c r="F2" t="n">
        <v>287031273.475682</v>
      </c>
      <c r="G2" t="n">
        <v>22962501.87805456</v>
      </c>
      <c r="H2" t="n">
        <v>0.169305724725944</v>
      </c>
      <c r="I2" t="n">
        <v>0.793182751650735</v>
      </c>
      <c r="J2" t="n">
        <v>0.05660325241876753</v>
      </c>
      <c r="K2" t="n">
        <v>0.06345462013205881</v>
      </c>
    </row>
    <row r="3">
      <c r="A3" t="inlineStr">
        <is>
          <t>NAME_INCOME_TYPE</t>
        </is>
      </c>
      <c r="B3" t="inlineStr">
        <is>
          <t>State servant</t>
        </is>
      </c>
      <c r="C3" t="n">
        <v>788</v>
      </c>
      <c r="D3" t="n">
        <v>356817777.9199999</v>
      </c>
      <c r="E3" t="n">
        <v>21260909.67386825</v>
      </c>
      <c r="F3" t="n">
        <v>275868017.0635074</v>
      </c>
      <c r="G3" t="n">
        <v>22069441.36508057</v>
      </c>
      <c r="H3" t="n">
        <v>0.1776649746192893</v>
      </c>
      <c r="I3" t="n">
        <v>0.7731341713734852</v>
      </c>
      <c r="J3" t="n">
        <v>0.05958478245620105</v>
      </c>
      <c r="K3" t="n">
        <v>0.06185073370987876</v>
      </c>
    </row>
    <row r="4">
      <c r="A4" t="inlineStr">
        <is>
          <t>NAME_INCOME_TYPE</t>
        </is>
      </c>
      <c r="B4" t="inlineStr">
        <is>
          <t>Student</t>
        </is>
      </c>
      <c r="C4" t="n">
        <v>801</v>
      </c>
      <c r="D4" t="n">
        <v>340190055.1099998</v>
      </c>
      <c r="E4" t="n">
        <v>19793100.1717543</v>
      </c>
      <c r="F4" t="n">
        <v>269664537.7072138</v>
      </c>
      <c r="G4" t="n">
        <v>21573163.01657708</v>
      </c>
      <c r="H4" t="n">
        <v>0.1710362047440699</v>
      </c>
      <c r="I4" t="n">
        <v>0.7926878921255303</v>
      </c>
      <c r="J4" t="n">
        <v>0.0581824773371292</v>
      </c>
      <c r="K4" t="n">
        <v>0.06341503137004235</v>
      </c>
    </row>
    <row r="5">
      <c r="A5" t="inlineStr">
        <is>
          <t>NAME_INCOME_TYPE</t>
        </is>
      </c>
      <c r="B5" t="inlineStr">
        <is>
          <t>Working</t>
        </is>
      </c>
      <c r="C5" t="n">
        <v>798</v>
      </c>
      <c r="D5" t="n">
        <v>342186220.2400003</v>
      </c>
      <c r="E5" t="n">
        <v>18701638.53478598</v>
      </c>
      <c r="F5" t="n">
        <v>268583304.493016</v>
      </c>
      <c r="G5" t="n">
        <v>21486664.35944129</v>
      </c>
      <c r="H5" t="n">
        <v>0.1641604010025063</v>
      </c>
      <c r="I5" t="n">
        <v>0.7849039166587095</v>
      </c>
      <c r="J5" t="n">
        <v>0.05465339463894586</v>
      </c>
      <c r="K5" t="n">
        <v>0.06279231333269679</v>
      </c>
    </row>
    <row r="6">
      <c r="A6" t="inlineStr">
        <is>
          <t>NAME_INCOME_TYPE</t>
        </is>
      </c>
      <c r="B6" t="inlineStr">
        <is>
          <t>Pensioner</t>
        </is>
      </c>
      <c r="C6" t="n">
        <v>792</v>
      </c>
      <c r="D6" t="n">
        <v>325113629.1000006</v>
      </c>
      <c r="E6" t="n">
        <v>17394872.27886586</v>
      </c>
      <c r="F6" t="n">
        <v>261797058.2129407</v>
      </c>
      <c r="G6" t="n">
        <v>20943764.65703529</v>
      </c>
      <c r="H6" t="n">
        <v>0.1704545454545454</v>
      </c>
      <c r="I6" t="n">
        <v>0.8052478726827398</v>
      </c>
      <c r="J6" t="n">
        <v>0.05350397744634516</v>
      </c>
      <c r="K6" t="n">
        <v>0.06441982981461927</v>
      </c>
    </row>
    <row r="7">
      <c r="A7" t="inlineStr">
        <is>
          <t>NAME_EDUCATION_TYPE</t>
        </is>
      </c>
      <c r="B7" t="inlineStr">
        <is>
          <t>Incomplete higher</t>
        </is>
      </c>
      <c r="C7" t="n">
        <v>1035</v>
      </c>
      <c r="D7" t="n">
        <v>455596263.3899996</v>
      </c>
      <c r="E7" t="n">
        <v>25915801.18314427</v>
      </c>
      <c r="F7" t="n">
        <v>365435612.7909794</v>
      </c>
      <c r="G7" t="n">
        <v>29234849.02327839</v>
      </c>
      <c r="H7" t="n">
        <v>0.1758454106280193</v>
      </c>
      <c r="I7" t="n">
        <v>0.8021040604500287</v>
      </c>
      <c r="J7" t="n">
        <v>0.05688326104852141</v>
      </c>
      <c r="K7" t="n">
        <v>0.06416832483600236</v>
      </c>
    </row>
    <row r="8">
      <c r="A8" t="inlineStr">
        <is>
          <t>NAME_EDUCATION_TYPE</t>
        </is>
      </c>
      <c r="B8" t="inlineStr">
        <is>
          <t>Lower secondary</t>
        </is>
      </c>
      <c r="C8" t="n">
        <v>987</v>
      </c>
      <c r="D8" t="n">
        <v>437899498.0700007</v>
      </c>
      <c r="E8" t="n">
        <v>23725744.30441322</v>
      </c>
      <c r="F8" t="n">
        <v>343928544.533466</v>
      </c>
      <c r="G8" t="n">
        <v>27514283.56267726</v>
      </c>
      <c r="H8" t="n">
        <v>0.1560283687943262</v>
      </c>
      <c r="I8" t="n">
        <v>0.7854052038179935</v>
      </c>
      <c r="J8" t="n">
        <v>0.05418079812601321</v>
      </c>
      <c r="K8" t="n">
        <v>0.06283241630543945</v>
      </c>
    </row>
    <row r="9">
      <c r="A9" t="inlineStr">
        <is>
          <t>NAME_EDUCATION_TYPE</t>
        </is>
      </c>
      <c r="B9" t="inlineStr">
        <is>
          <t>Secondary / secondary special</t>
        </is>
      </c>
      <c r="C9" t="n">
        <v>1001</v>
      </c>
      <c r="D9" t="n">
        <v>424223841.2100002</v>
      </c>
      <c r="E9" t="n">
        <v>24104202.21106383</v>
      </c>
      <c r="F9" t="n">
        <v>330354968.7175227</v>
      </c>
      <c r="G9" t="n">
        <v>26428397.49740177</v>
      </c>
      <c r="H9" t="n">
        <v>0.1798201798201798</v>
      </c>
      <c r="I9" t="n">
        <v>0.7787279653478734</v>
      </c>
      <c r="J9" t="n">
        <v>0.0568195369272792</v>
      </c>
      <c r="K9" t="n">
        <v>0.06229823722782975</v>
      </c>
    </row>
    <row r="10">
      <c r="A10" t="inlineStr">
        <is>
          <t>NAME_EDUCATION_TYPE</t>
        </is>
      </c>
      <c r="B10" t="inlineStr">
        <is>
          <t>Higher education</t>
        </is>
      </c>
      <c r="C10" t="n">
        <v>977</v>
      </c>
      <c r="D10" t="n">
        <v>408460892.5900001</v>
      </c>
      <c r="E10" t="n">
        <v>23887951.13215516</v>
      </c>
      <c r="F10" t="n">
        <v>323225064.9103917</v>
      </c>
      <c r="G10" t="n">
        <v>25858005.19283133</v>
      </c>
      <c r="H10" t="n">
        <v>0.1699078812691914</v>
      </c>
      <c r="I10" t="n">
        <v>0.7913243856978853</v>
      </c>
      <c r="J10" t="n">
        <v>0.05848283535954839</v>
      </c>
      <c r="K10" t="n">
        <v>0.06330595085583079</v>
      </c>
    </row>
    <row r="11">
      <c r="A11" t="inlineStr">
        <is>
          <t>NAME_CONTRACT_TYPE</t>
        </is>
      </c>
      <c r="B11" t="inlineStr">
        <is>
          <t>Cash loans</t>
        </is>
      </c>
      <c r="C11" t="n">
        <v>3619</v>
      </c>
      <c r="D11" t="n">
        <v>1555744043.879996</v>
      </c>
      <c r="E11" t="n">
        <v>78411043.30472675</v>
      </c>
      <c r="F11" t="n">
        <v>1169249159.601943</v>
      </c>
      <c r="G11" t="n">
        <v>93539932.7681556</v>
      </c>
      <c r="H11" t="n">
        <v>0.1699364465321912</v>
      </c>
      <c r="I11" t="n">
        <v>0.7515691056003385</v>
      </c>
      <c r="J11" t="n">
        <v>0.05040099212539557</v>
      </c>
      <c r="K11" t="n">
        <v>0.06012552844802721</v>
      </c>
    </row>
    <row r="12">
      <c r="A12" t="inlineStr">
        <is>
          <t>NAME_CONTRACT_TYPE</t>
        </is>
      </c>
      <c r="B12" t="inlineStr">
        <is>
          <t>Revolving loans</t>
        </is>
      </c>
      <c r="C12" t="n">
        <v>381</v>
      </c>
      <c r="D12" t="n">
        <v>170436451.38</v>
      </c>
      <c r="E12" t="n">
        <v>19222655.52604983</v>
      </c>
      <c r="F12" t="n">
        <v>193695031.3504144</v>
      </c>
      <c r="G12" t="n">
        <v>15495602.50803316</v>
      </c>
      <c r="H12" t="n">
        <v>0.1758530183727034</v>
      </c>
      <c r="I12" t="n">
        <v>1.136464821827097</v>
      </c>
      <c r="J12" t="n">
        <v>0.1127848847497509</v>
      </c>
      <c r="K12" t="n">
        <v>0.09091718574616781</v>
      </c>
    </row>
    <row r="13">
      <c r="A13" t="inlineStr">
        <is>
          <t>REGION_RATING_CLIENT</t>
        </is>
      </c>
      <c r="B13" t="inlineStr">
        <is>
          <t>3</t>
        </is>
      </c>
      <c r="C13" t="n">
        <v>1373</v>
      </c>
      <c r="D13" t="n">
        <v>597396411.4300001</v>
      </c>
      <c r="E13" t="n">
        <v>35234397.44477037</v>
      </c>
      <c r="F13" t="n">
        <v>471221029.9302709</v>
      </c>
      <c r="G13" t="n">
        <v>37697682.39442161</v>
      </c>
      <c r="H13" t="n">
        <v>0.1762563729060452</v>
      </c>
      <c r="I13" t="n">
        <v>0.7887911961210136</v>
      </c>
      <c r="J13" t="n">
        <v>0.05897992818609183</v>
      </c>
      <c r="K13" t="n">
        <v>0.063103295689681</v>
      </c>
    </row>
    <row r="14">
      <c r="A14" t="inlineStr">
        <is>
          <t>REGION_RATING_CLIENT</t>
        </is>
      </c>
      <c r="B14" t="inlineStr">
        <is>
          <t>2</t>
        </is>
      </c>
      <c r="C14" t="n">
        <v>1319</v>
      </c>
      <c r="D14" t="n">
        <v>567266760.3999996</v>
      </c>
      <c r="E14" t="n">
        <v>33268077.14828519</v>
      </c>
      <c r="F14" t="n">
        <v>449799180.8902228</v>
      </c>
      <c r="G14" t="n">
        <v>35983934.47121787</v>
      </c>
      <c r="H14" t="n">
        <v>0.1743745261561789</v>
      </c>
      <c r="I14" t="n">
        <v>0.7929235631099796</v>
      </c>
      <c r="J14" t="n">
        <v>0.05864626569134195</v>
      </c>
      <c r="K14" t="n">
        <v>0.06343388504879846</v>
      </c>
    </row>
    <row r="15">
      <c r="A15" t="inlineStr">
        <is>
          <t>REGION_RATING_CLIENT</t>
        </is>
      </c>
      <c r="B15" t="inlineStr">
        <is>
          <t>1</t>
        </is>
      </c>
      <c r="C15" t="n">
        <v>1308</v>
      </c>
      <c r="D15" t="n">
        <v>561517323.4300004</v>
      </c>
      <c r="E15" t="n">
        <v>29131224.23772094</v>
      </c>
      <c r="F15" t="n">
        <v>441923980.1318659</v>
      </c>
      <c r="G15" t="n">
        <v>35353918.41054931</v>
      </c>
      <c r="H15" t="n">
        <v>0.1605504587155963</v>
      </c>
      <c r="I15" t="n">
        <v>0.7870175356877601</v>
      </c>
      <c r="J15" t="n">
        <v>0.05187947552494787</v>
      </c>
      <c r="K15" t="n">
        <v>0.06296140285502087</v>
      </c>
    </row>
  </sheetData>
  <conditionalFormatting sqref="F2:F1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EAD</t>
        </is>
      </c>
      <c r="B2" t="n">
        <v>1726180495.26</v>
      </c>
    </row>
    <row r="3">
      <c r="A3" t="inlineStr">
        <is>
          <t>Total RWA</t>
        </is>
      </c>
      <c r="B3" t="n">
        <v>1362944190.952359</v>
      </c>
    </row>
    <row r="4">
      <c r="A4" t="inlineStr">
        <is>
          <t>Portfolio RWA density</t>
        </is>
      </c>
      <c r="B4" t="n">
        <v>0.7895722345924612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8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#</t>
        </is>
      </c>
      <c r="B1" s="1" t="inlineStr">
        <is>
          <t>Headline</t>
        </is>
      </c>
      <c r="C1" s="1" t="inlineStr">
        <is>
          <t>Specific</t>
        </is>
      </c>
      <c r="D1" s="1" t="inlineStr">
        <is>
          <t>Measurable</t>
        </is>
      </c>
      <c r="E1" s="1" t="inlineStr">
        <is>
          <t>Achievable</t>
        </is>
      </c>
      <c r="F1" s="1" t="inlineStr">
        <is>
          <t>Relevant</t>
        </is>
      </c>
      <c r="G1" s="1" t="inlineStr">
        <is>
          <t>Time-bound</t>
        </is>
      </c>
    </row>
    <row r="2" ht="45" customHeight="1">
      <c r="A2" s="5" t="n">
        <v>1</v>
      </c>
      <c r="B2" s="5" t="inlineStr">
        <is>
          <t>Portfolio RWA density does not yet meet the statistical-robustness bar</t>
        </is>
      </c>
      <c r="C2" s="5" t="inlineStr">
        <is>
          <t>Chi-square p=0, Cramer's V 0.8799 (95% bootstrap CI [0.8622, 0.8999]); 2/3 validation checks PASS.</t>
        </is>
      </c>
      <c r="D2" s="5" t="inlineStr">
        <is>
          <t>Portfolio RWA density 78.96%; highest-density segment NAME_CONTRACT_TYPE=Revolving loans (113.65%).</t>
        </is>
      </c>
      <c r="E2" s="5" t="inlineStr">
        <is>
          <t>Investigate the failing check(s) above; re-run after any Notebook 01 update.</t>
        </is>
      </c>
      <c r="F2" s="5" t="inlineStr">
        <is>
          <t>Identifies which real portfolio segments concentrate capital demand -- informs Problem 5 (Capital Concentration by Segment).</t>
        </is>
      </c>
      <c r="G2" s="5" t="inlineStr">
        <is>
          <t>Re-run after any Notebook 01 (MP2) re-run or LGD/correlation assumption update.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2026-09-01T06:20:24Z</dcterms:created>
  <dcterms:modified xmlns:dcterms="http://purl.org/dc/terms/" xmlns:xsi="http://www.w3.org/2001/XMLSchema-instance" xsi:type="dcterms:W3CDTF">2026-09-01T06:20:24Z</dcterms:modified>
</cp:coreProperties>
</file>