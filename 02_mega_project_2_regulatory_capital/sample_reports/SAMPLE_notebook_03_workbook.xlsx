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isk Metrics" sheetId="2" state="visible" r:id="rId2"/>
    <sheet xmlns:r="http://schemas.openxmlformats.org/officeDocument/2006/relationships" name="Convergence Check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iskMetrics" displayName="TRiskMetrics" ref="A1:E5" headerRowCount="1">
  <autoFilter ref="A1:E5"/>
  <tableColumns count="5">
    <tableColumn id="1" name="confidence_level"/>
    <tableColumn id="2" name="value_at_risk"/>
    <tableColumn id="3" name="expected_shortfall"/>
    <tableColumn id="4" name="economic_capital"/>
    <tableColumn id="5" name="n_tail_draws"/>
  </tableColumns>
  <tableStyleInfo name="TableStyleMedium2" showRowStripes="1"/>
</table>
</file>

<file path=xl/tables/table2.xml><?xml version="1.0" encoding="utf-8"?>
<table xmlns="http://schemas.openxmlformats.org/spreadsheetml/2006/main" id="2" name="TConvergenceCheck" displayName="TConvergenceCheck" ref="A1:F5" headerRowCount="1">
  <autoFilter ref="A1:F5"/>
  <tableColumns count="6">
    <tableColumn id="1" name="confidence_level"/>
    <tableColumn id="2" name="main_run_ec"/>
    <tableColumn id="3" name="reseed_run_ec"/>
    <tableColumn id="4" name="relative_difference"/>
    <tableColumn id="5" name="documented_tolerance"/>
    <tableColumn id="6" name="converg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Simulation model</t>
        </is>
      </c>
      <c r="B2" s="2" t="inlineStr">
        <is>
          <t>Single-factor Vasicek/ASRF (same model as Notebook 01's closed-form K())</t>
        </is>
      </c>
      <c r="C2" t="inlineStr">
        <is>
          <t>[BCBS05] the same Vasicek/ASRF single-systematic-factor derivation underlying Basel's own closed-form retail-IRB capital function; see also Vasicek, O. (2002), "The Distribution of Loan Portfolio Value," Risk, for the original single-factor portfolio credit loss model. No new LGD/PD/correlation assumption is introduced -- every input is Notebook 01's real, already-disclosed per-applicant value, unchanged.</t>
        </is>
      </c>
    </row>
    <row r="3">
      <c r="A3" t="inlineStr">
        <is>
          <t>Monte Carlo draws (main run)</t>
        </is>
      </c>
      <c r="B3" s="2" t="inlineStr">
        <is>
          <t>50,000</t>
        </is>
      </c>
      <c r="C3" t="inlineStr">
        <is>
          <t>A real, disclosed, user-overridable performance knob (project_config.json "mc_draws") -- not tuned per-run.</t>
        </is>
      </c>
    </row>
    <row r="4">
      <c r="A4" t="inlineStr">
        <is>
          <t>Cross-check tolerance vs. closed form (99.9%)</t>
        </is>
      </c>
      <c r="B4" s="2" t="inlineStr">
        <is>
          <t>10%</t>
        </is>
      </c>
      <c r="C4" t="inlineStr">
        <is>
          <t>A documented allowance for real Monte Carlo sampling error at an extreme quantile with a finite number of draws -- not a threshold chosen to force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16" customWidth="1" min="5" max="5"/>
  </cols>
  <sheetData>
    <row r="1">
      <c r="A1" s="3" t="inlineStr">
        <is>
          <t>confidence_level</t>
        </is>
      </c>
      <c r="B1" s="3" t="inlineStr">
        <is>
          <t>value_at_risk</t>
        </is>
      </c>
      <c r="C1" s="3" t="inlineStr">
        <is>
          <t>expected_shortfall</t>
        </is>
      </c>
      <c r="D1" s="3" t="inlineStr">
        <is>
          <t>economic_capital</t>
        </is>
      </c>
      <c r="E1" s="3" t="inlineStr">
        <is>
          <t>n_tail_draws</t>
        </is>
      </c>
    </row>
    <row r="2">
      <c r="A2" t="n">
        <v>0.95</v>
      </c>
      <c r="B2" t="n">
        <v>146376278.9189629</v>
      </c>
      <c r="C2" t="n">
        <v>162995394.301168</v>
      </c>
      <c r="D2" t="n">
        <v>48742580.08818635</v>
      </c>
      <c r="E2" t="n">
        <v>2500</v>
      </c>
    </row>
    <row r="3">
      <c r="A3" t="n">
        <v>0.99</v>
      </c>
      <c r="B3" t="n">
        <v>173596753.2096365</v>
      </c>
      <c r="C3" t="n">
        <v>188494672.6426186</v>
      </c>
      <c r="D3" t="n">
        <v>75963054.37886</v>
      </c>
      <c r="E3" t="n">
        <v>500</v>
      </c>
    </row>
    <row r="4">
      <c r="A4" t="n">
        <v>0.995</v>
      </c>
      <c r="B4" t="n">
        <v>184169782.2577611</v>
      </c>
      <c r="C4" t="n">
        <v>198875017.7660081</v>
      </c>
      <c r="D4" t="n">
        <v>86536083.42698455</v>
      </c>
      <c r="E4" t="n">
        <v>250</v>
      </c>
    </row>
    <row r="5">
      <c r="A5" t="n">
        <v>0.999</v>
      </c>
      <c r="B5" t="n">
        <v>208143243.1894287</v>
      </c>
      <c r="C5" t="n">
        <v>221814203.0067769</v>
      </c>
      <c r="D5" t="n">
        <v>110509544.3586521</v>
      </c>
      <c r="E5" t="n">
        <v>50</v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23" customWidth="1" min="4" max="4"/>
    <col width="24" customWidth="1" min="5" max="5"/>
    <col width="14" customWidth="1" min="6" max="6"/>
  </cols>
  <sheetData>
    <row r="1">
      <c r="A1" s="4" t="inlineStr">
        <is>
          <t>confidence_level</t>
        </is>
      </c>
      <c r="B1" s="4" t="inlineStr">
        <is>
          <t>main_run_ec</t>
        </is>
      </c>
      <c r="C1" s="4" t="inlineStr">
        <is>
          <t>reseed_run_ec</t>
        </is>
      </c>
      <c r="D1" s="4" t="inlineStr">
        <is>
          <t>relative_difference</t>
        </is>
      </c>
      <c r="E1" s="4" t="inlineStr">
        <is>
          <t>documented_tolerance</t>
        </is>
      </c>
      <c r="F1" s="4" t="inlineStr">
        <is>
          <t>converged</t>
        </is>
      </c>
    </row>
    <row r="2">
      <c r="A2" t="n">
        <v>0.95</v>
      </c>
      <c r="B2" t="n">
        <v>48742580.08818635</v>
      </c>
      <c r="C2" t="n">
        <v>49149740.54215989</v>
      </c>
      <c r="D2" t="n">
        <v>0.008353280709328196</v>
      </c>
      <c r="E2" t="n">
        <v>0.05</v>
      </c>
      <c r="F2" t="b">
        <v>1</v>
      </c>
    </row>
    <row r="3">
      <c r="A3" t="n">
        <v>0.99</v>
      </c>
      <c r="B3" t="n">
        <v>75963054.37886</v>
      </c>
      <c r="C3" t="n">
        <v>75459046.19596991</v>
      </c>
      <c r="D3" t="n">
        <v>0.006634912024158278</v>
      </c>
      <c r="E3" t="n">
        <v>0.08</v>
      </c>
      <c r="F3" t="b">
        <v>1</v>
      </c>
    </row>
    <row r="4">
      <c r="A4" t="n">
        <v>0.995</v>
      </c>
      <c r="B4" t="n">
        <v>86536083.42698455</v>
      </c>
      <c r="C4" t="n">
        <v>86105406.39525259</v>
      </c>
      <c r="D4" t="n">
        <v>0.004976849132481828</v>
      </c>
      <c r="E4" t="n">
        <v>0.1</v>
      </c>
      <c r="F4" t="b">
        <v>1</v>
      </c>
    </row>
    <row r="5">
      <c r="A5" t="n">
        <v>0.999</v>
      </c>
      <c r="B5" t="n">
        <v>110509544.3586521</v>
      </c>
      <c r="C5" t="n">
        <v>105512683.9741578</v>
      </c>
      <c r="D5" t="n">
        <v>0.0452165504209967</v>
      </c>
      <c r="E5" t="n">
        <v>0.15</v>
      </c>
      <c r="F5" t="b">
        <v>1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EAD</t>
        </is>
      </c>
      <c r="B2" t="n">
        <v>1726180495.26</v>
      </c>
    </row>
    <row r="3">
      <c r="A3" t="inlineStr">
        <is>
          <t>Real Total Expected Loss</t>
        </is>
      </c>
      <c r="B3" t="n">
        <v>97633698.83077654</v>
      </c>
    </row>
    <row r="4">
      <c r="A4" t="inlineStr">
        <is>
          <t>Closed-form Basel Capital (Notebook 01)</t>
        </is>
      </c>
      <c r="B4" t="n">
        <v>109035535.2761888</v>
      </c>
    </row>
    <row r="5">
      <c r="A5" t="inlineStr">
        <is>
          <t>Monte Carlo 99.9% Economic Capital</t>
        </is>
      </c>
      <c r="B5" t="n">
        <v>110509544.3586521</v>
      </c>
    </row>
    <row r="6">
      <c r="A6" t="inlineStr">
        <is>
          <t>Closed-form vs. Monte Carlo relative difference</t>
        </is>
      </c>
      <c r="B6" t="n">
        <v>0.01351861187941771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Real Monte Carlo economic-capital estimate confirms Notebook 01's closed-form Basel capital requirement</t>
        </is>
      </c>
      <c r="C2" s="5" t="inlineStr">
        <is>
          <t>99.9% Economic Capital (Monte Carlo): $110,509,544 vs. closed-form capital requirement: $109,035,535 (1.35% relative difference, tolerance 10%).</t>
        </is>
      </c>
      <c r="D2" s="5" t="inlineStr">
        <is>
          <t>Real VaR/Expected Shortfall/Economic Capital computed at 4 documented confidence levels from 50,000 real simulated draws.</t>
        </is>
      </c>
      <c r="E2" s="5" t="inlineStr">
        <is>
          <t>No further tuning required this cycle.</t>
        </is>
      </c>
      <c r="F2" s="5" t="inlineStr">
        <is>
          <t>Gives risk management a real loss DISTRIBUTION (VaR at multiple levels, Expected Shortfall) that Notebook 01's single closed-form number cannot provide, plus an independent numerical check on that closed-form number.</t>
        </is>
      </c>
      <c r="G2" s="5" t="inlineStr">
        <is>
          <t>Re-run after any Notebook 01 (MP2) re-run or LGD/correlation assumption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2026-09-01T07:04:52Z</dcterms:created>
  <dcterms:modified xmlns:dcterms="http://purl.org/dc/terms/" xmlns:xsi="http://www.w3.org/2001/XMLSchema-instance" xsi:type="dcterms:W3CDTF">2026-09-01T07:04:52Z</dcterms:modified>
</cp:coreProperties>
</file>