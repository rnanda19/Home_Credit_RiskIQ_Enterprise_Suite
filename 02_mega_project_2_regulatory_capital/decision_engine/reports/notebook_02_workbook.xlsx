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nd RWA Density" sheetId="2" state="visible" r:id="rId2"/>
    <sheet xmlns:r="http://schemas.openxmlformats.org/officeDocument/2006/relationships" name="Segment RWA Analytics" sheetId="3" state="visible" r:id="rId3"/>
    <sheet xmlns:r="http://schemas.openxmlformats.org/officeDocument/2006/relationships" name="Portfolio Summary" sheetId="4" state="visible" r:id="rId4"/>
    <sheet xmlns:r="http://schemas.openxmlformats.org/officeDocument/2006/relationships" name="SMART Insights" sheetId="5" state="visible" r:id="rId5"/>
    <sheet xmlns:r="http://schemas.openxmlformats.org/officeDocument/2006/relationships" name="Disclosures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andRWADensity" displayName="TBandRWADensity" ref="A1:F6" headerRowCount="1">
  <autoFilter ref="A1:F6"/>
  <tableColumns count="6">
    <tableColumn id="1" name="PD_RISK_BAND"/>
    <tableColumn id="2" name="n_applicants"/>
    <tableColumn id="3" name="total_ead"/>
    <tableColumn id="4" name="total_rwa"/>
    <tableColumn id="5" name="real_default_rate"/>
    <tableColumn id="6" name="rwa_density"/>
  </tableColumns>
  <tableStyleInfo name="TableStyleMedium2" showRowStripes="1"/>
</table>
</file>

<file path=xl/tables/table2.xml><?xml version="1.0" encoding="utf-8"?>
<table xmlns="http://schemas.openxmlformats.org/spreadsheetml/2006/main" id="2" name="TSegmentRWAAnalytics" displayName="TSegmentRWAAnalytics" ref="A1:K19" headerRowCount="1">
  <autoFilter ref="A1:K19"/>
  <tableColumns count="11">
    <tableColumn id="1" name="dimension"/>
    <tableColumn id="2" name="segment_value"/>
    <tableColumn id="3" name="n_applicants"/>
    <tableColumn id="4" name="total_ead"/>
    <tableColumn id="5" name="total_el"/>
    <tableColumn id="6" name="total_rwa"/>
    <tableColumn id="7" name="total_capital_requirement"/>
    <tableColumn id="8" name="real_default_rate"/>
    <tableColumn id="9" name="rwa_density"/>
    <tableColumn id="10" name="el_rate"/>
    <tableColumn id="11" name="capital_r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RWA density definition</t>
        </is>
      </c>
      <c r="B2" s="2" t="inlineStr">
        <is>
          <t>Total RWA / Total EAD (Basel Pillar 3 comparability metric)</t>
        </is>
      </c>
      <c r="C2" t="inlineStr">
        <is>
          <t>[BCBS06] Pillar 3 disclosure convention -- RWA density lets portfolios of different size be compared on a like-for-like basis; not itself a regulatory limit.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21" customWidth="1" min="5" max="5"/>
    <col width="15" customWidth="1" min="6" max="6"/>
  </cols>
  <sheetData>
    <row r="1">
      <c r="A1" s="3" t="inlineStr">
        <is>
          <t>PD_RISK_BAND</t>
        </is>
      </c>
      <c r="B1" s="3" t="inlineStr">
        <is>
          <t>n_applicants</t>
        </is>
      </c>
      <c r="C1" s="3" t="inlineStr">
        <is>
          <t>total_ead</t>
        </is>
      </c>
      <c r="D1" s="3" t="inlineStr">
        <is>
          <t>total_rwa</t>
        </is>
      </c>
      <c r="E1" s="3" t="inlineStr">
        <is>
          <t>real_default_rate</t>
        </is>
      </c>
      <c r="F1" s="3" t="inlineStr">
        <is>
          <t>rwa_density</t>
        </is>
      </c>
    </row>
    <row r="2">
      <c r="A2" t="inlineStr">
        <is>
          <t>Lowest Risk</t>
        </is>
      </c>
      <c r="B2" t="n">
        <v>154958</v>
      </c>
      <c r="C2" t="n">
        <v>98123829723</v>
      </c>
      <c r="D2" t="n">
        <v>47402617449.42287</v>
      </c>
      <c r="E2" t="n">
        <v>0.01859213464293551</v>
      </c>
      <c r="F2" t="n">
        <v>0.4830897610013666</v>
      </c>
    </row>
    <row r="3">
      <c r="A3" t="inlineStr">
        <is>
          <t>Low Risk</t>
        </is>
      </c>
      <c r="B3" t="n">
        <v>76559</v>
      </c>
      <c r="C3" t="n">
        <v>45515699289</v>
      </c>
      <c r="D3" t="n">
        <v>33702367864.22978</v>
      </c>
      <c r="E3" t="n">
        <v>0.06520461343538971</v>
      </c>
      <c r="F3" t="n">
        <v>0.7404558952338187</v>
      </c>
    </row>
    <row r="4">
      <c r="A4" t="inlineStr">
        <is>
          <t>Moderate Risk</t>
        </is>
      </c>
      <c r="B4" t="n">
        <v>49270</v>
      </c>
      <c r="C4" t="n">
        <v>27057014379</v>
      </c>
      <c r="D4" t="n">
        <v>25853253586.93687</v>
      </c>
      <c r="E4" t="n">
        <v>0.1500710371422772</v>
      </c>
      <c r="F4" t="n">
        <v>0.9555102135364418</v>
      </c>
    </row>
    <row r="5">
      <c r="A5" t="inlineStr">
        <is>
          <t>High Risk</t>
        </is>
      </c>
      <c r="B5" t="n">
        <v>19711</v>
      </c>
      <c r="C5" t="n">
        <v>10073487892.5</v>
      </c>
      <c r="D5" t="n">
        <v>11317622015.2618</v>
      </c>
      <c r="E5" t="n">
        <v>0.2931358124904875</v>
      </c>
      <c r="F5" t="n">
        <v>1.12350579422328</v>
      </c>
    </row>
    <row r="6">
      <c r="A6" t="inlineStr">
        <is>
          <t>Highest Risk</t>
        </is>
      </c>
      <c r="B6" t="n">
        <v>7013</v>
      </c>
      <c r="C6" t="n">
        <v>3437052912</v>
      </c>
      <c r="D6" t="n">
        <v>3685492996.10427</v>
      </c>
      <c r="E6" t="n">
        <v>0.5389990018537003</v>
      </c>
      <c r="F6" t="n">
        <v>1.072282880265496</v>
      </c>
    </row>
  </sheetData>
  <conditionalFormatting sqref="F2:F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4" customWidth="1" min="4" max="4"/>
    <col width="14" customWidth="1" min="5" max="5"/>
    <col width="14" customWidth="1" min="6" max="6"/>
    <col width="29" customWidth="1" min="7" max="7"/>
    <col width="21" customWidth="1" min="8" max="8"/>
    <col width="15" customWidth="1" min="9" max="9"/>
    <col width="14" customWidth="1" min="10" max="10"/>
    <col width="16" customWidth="1" min="11" max="11"/>
  </cols>
  <sheetData>
    <row r="1">
      <c r="A1" s="4" t="inlineStr">
        <is>
          <t>dimension</t>
        </is>
      </c>
      <c r="B1" s="4" t="inlineStr">
        <is>
          <t>segment_value</t>
        </is>
      </c>
      <c r="C1" s="4" t="inlineStr">
        <is>
          <t>n_applicants</t>
        </is>
      </c>
      <c r="D1" s="4" t="inlineStr">
        <is>
          <t>total_ead</t>
        </is>
      </c>
      <c r="E1" s="4" t="inlineStr">
        <is>
          <t>total_el</t>
        </is>
      </c>
      <c r="F1" s="4" t="inlineStr">
        <is>
          <t>total_rwa</t>
        </is>
      </c>
      <c r="G1" s="4" t="inlineStr">
        <is>
          <t>total_capital_requirement</t>
        </is>
      </c>
      <c r="H1" s="4" t="inlineStr">
        <is>
          <t>real_default_rate</t>
        </is>
      </c>
      <c r="I1" s="4" t="inlineStr">
        <is>
          <t>rwa_density</t>
        </is>
      </c>
      <c r="J1" s="4" t="inlineStr">
        <is>
          <t>el_rate</t>
        </is>
      </c>
      <c r="K1" s="4" t="inlineStr">
        <is>
          <t>capital_rate</t>
        </is>
      </c>
    </row>
    <row r="2">
      <c r="A2" t="inlineStr">
        <is>
          <t>NAME_INCOME_TYPE</t>
        </is>
      </c>
      <c r="B2" t="inlineStr">
        <is>
          <t>Working</t>
        </is>
      </c>
      <c r="C2" t="n">
        <v>158774</v>
      </c>
      <c r="D2" t="n">
        <v>91614348819</v>
      </c>
      <c r="E2" t="n">
        <v>2302776147.820172</v>
      </c>
      <c r="F2" t="n">
        <v>64446300841.39867</v>
      </c>
      <c r="G2" t="n">
        <v>5155704067.311899</v>
      </c>
      <c r="H2" t="n">
        <v>0.09588471664126369</v>
      </c>
      <c r="I2" t="n">
        <v>0.7034520429624348</v>
      </c>
      <c r="J2" t="n">
        <v>0.0251355402020016</v>
      </c>
      <c r="K2" t="n">
        <v>0.05627616343699484</v>
      </c>
    </row>
    <row r="3">
      <c r="A3" t="inlineStr">
        <is>
          <t>NAME_INCOME_TYPE</t>
        </is>
      </c>
      <c r="B3" t="inlineStr">
        <is>
          <t>Commercial associate</t>
        </is>
      </c>
      <c r="C3" t="n">
        <v>71617</v>
      </c>
      <c r="D3" t="n">
        <v>47977168122</v>
      </c>
      <c r="E3" t="n">
        <v>929746109.010619</v>
      </c>
      <c r="F3" t="n">
        <v>30526225211.83723</v>
      </c>
      <c r="G3" t="n">
        <v>2442098016.94698</v>
      </c>
      <c r="H3" t="n">
        <v>0.07484256531270508</v>
      </c>
      <c r="I3" t="n">
        <v>0.6362656740017006</v>
      </c>
      <c r="J3" t="n">
        <v>0.01937892846543985</v>
      </c>
      <c r="K3" t="n">
        <v>0.05090125392013607</v>
      </c>
    </row>
    <row r="4">
      <c r="A4" t="inlineStr">
        <is>
          <t>NAME_INCOME_TYPE</t>
        </is>
      </c>
      <c r="B4" t="inlineStr">
        <is>
          <t>Pensioner</t>
        </is>
      </c>
      <c r="C4" t="n">
        <v>55362</v>
      </c>
      <c r="D4" t="n">
        <v>30036434796</v>
      </c>
      <c r="E4" t="n">
        <v>436163093.3401138</v>
      </c>
      <c r="F4" t="n">
        <v>18262894490.40506</v>
      </c>
      <c r="G4" t="n">
        <v>1461031559.232406</v>
      </c>
      <c r="H4" t="n">
        <v>0.05386366099490626</v>
      </c>
      <c r="I4" t="n">
        <v>0.6080247078071048</v>
      </c>
      <c r="J4" t="n">
        <v>0.01452113395955363</v>
      </c>
      <c r="K4" t="n">
        <v>0.04864197662456844</v>
      </c>
    </row>
    <row r="5">
      <c r="A5" t="inlineStr">
        <is>
          <t>NAME_INCOME_TYPE</t>
        </is>
      </c>
      <c r="B5" t="inlineStr">
        <is>
          <t>State servant</t>
        </is>
      </c>
      <c r="C5" t="n">
        <v>21703</v>
      </c>
      <c r="D5" t="n">
        <v>14537088283.5</v>
      </c>
      <c r="E5" t="n">
        <v>247095073.2297333</v>
      </c>
      <c r="F5" t="n">
        <v>8698900534.492748</v>
      </c>
      <c r="G5" t="n">
        <v>695912042.7594202</v>
      </c>
      <c r="H5" t="n">
        <v>0.05754964751416855</v>
      </c>
      <c r="I5" t="n">
        <v>0.5983935960797764</v>
      </c>
      <c r="J5" t="n">
        <v>0.01699756295146072</v>
      </c>
      <c r="K5" t="n">
        <v>0.04787148768638213</v>
      </c>
    </row>
    <row r="6">
      <c r="A6" t="inlineStr">
        <is>
          <t>NAME_INCOME_TYPE</t>
        </is>
      </c>
      <c r="B6" t="inlineStr">
        <is>
          <t>Unemployed</t>
        </is>
      </c>
      <c r="C6" t="n">
        <v>22</v>
      </c>
      <c r="D6" t="n">
        <v>16816500</v>
      </c>
      <c r="E6" t="n">
        <v>1285261.65218103</v>
      </c>
      <c r="F6" t="n">
        <v>15172267.35832784</v>
      </c>
      <c r="G6" t="n">
        <v>1213781.388666227</v>
      </c>
      <c r="H6" t="n">
        <v>0.3636363636363636</v>
      </c>
      <c r="I6" t="n">
        <v>0.9022250384044147</v>
      </c>
      <c r="J6" t="n">
        <v>0.07642860596325216</v>
      </c>
      <c r="K6" t="n">
        <v>0.07217800307235317</v>
      </c>
    </row>
    <row r="7">
      <c r="A7" t="inlineStr">
        <is>
          <t>NAME_INCOME_TYPE</t>
        </is>
      </c>
      <c r="B7" t="inlineStr">
        <is>
          <t>Student</t>
        </is>
      </c>
      <c r="C7" t="n">
        <v>18</v>
      </c>
      <c r="D7" t="n">
        <v>9194175</v>
      </c>
      <c r="E7" t="n">
        <v>289245.9849946291</v>
      </c>
      <c r="F7" t="n">
        <v>6438066.7296787</v>
      </c>
      <c r="G7" t="n">
        <v>515045.338374296</v>
      </c>
      <c r="H7" t="n">
        <v>0</v>
      </c>
      <c r="I7" t="n">
        <v>0.7002332161046205</v>
      </c>
      <c r="J7" t="n">
        <v>0.03145969975496759</v>
      </c>
      <c r="K7" t="n">
        <v>0.05601865728836965</v>
      </c>
    </row>
    <row r="8">
      <c r="A8" t="inlineStr">
        <is>
          <t>NAME_INCOME_TYPE</t>
        </is>
      </c>
      <c r="B8" t="inlineStr">
        <is>
          <t>Businessman</t>
        </is>
      </c>
      <c r="C8" t="n">
        <v>10</v>
      </c>
      <c r="D8" t="n">
        <v>12285000</v>
      </c>
      <c r="E8" t="n">
        <v>91083.016274947</v>
      </c>
      <c r="F8" t="n">
        <v>3259322.862811422</v>
      </c>
      <c r="G8" t="n">
        <v>260745.8290249138</v>
      </c>
      <c r="H8" t="n">
        <v>0</v>
      </c>
      <c r="I8" t="n">
        <v>0.2653091463419961</v>
      </c>
      <c r="J8" t="n">
        <v>0.007414164938945625</v>
      </c>
      <c r="K8" t="n">
        <v>0.02122473170735969</v>
      </c>
    </row>
    <row r="9">
      <c r="A9" t="inlineStr">
        <is>
          <t>NAME_INCOME_TYPE</t>
        </is>
      </c>
      <c r="B9" t="inlineStr">
        <is>
          <t>Maternity leave</t>
        </is>
      </c>
      <c r="C9" t="n">
        <v>5</v>
      </c>
      <c r="D9" t="n">
        <v>3748500</v>
      </c>
      <c r="E9" t="n">
        <v>199718.5305783769</v>
      </c>
      <c r="F9" t="n">
        <v>2163176.870977194</v>
      </c>
      <c r="G9" t="n">
        <v>173054.1496781755</v>
      </c>
      <c r="H9" t="n">
        <v>0.4</v>
      </c>
      <c r="I9" t="n">
        <v>0.5770779967926354</v>
      </c>
      <c r="J9" t="n">
        <v>0.05327958665556274</v>
      </c>
      <c r="K9" t="n">
        <v>0.04616623974341084</v>
      </c>
    </row>
    <row r="10">
      <c r="A10" t="inlineStr">
        <is>
          <t>NAME_EDUCATION_TYPE</t>
        </is>
      </c>
      <c r="B10" t="inlineStr">
        <is>
          <t>Secondary / secondary special</t>
        </is>
      </c>
      <c r="C10" t="n">
        <v>218391</v>
      </c>
      <c r="D10" t="n">
        <v>124743496171.5</v>
      </c>
      <c r="E10" t="n">
        <v>2965675621.750663</v>
      </c>
      <c r="F10" t="n">
        <v>87103856440.435</v>
      </c>
      <c r="G10" t="n">
        <v>6968308515.234807</v>
      </c>
      <c r="H10" t="n">
        <v>0.08939928843221562</v>
      </c>
      <c r="I10" t="n">
        <v>0.698263710042909</v>
      </c>
      <c r="J10" t="n">
        <v>0.0237741903407404</v>
      </c>
      <c r="K10" t="n">
        <v>0.05586109680343277</v>
      </c>
    </row>
    <row r="11">
      <c r="A11" t="inlineStr">
        <is>
          <t>NAME_EDUCATION_TYPE</t>
        </is>
      </c>
      <c r="B11" t="inlineStr">
        <is>
          <t>Higher education</t>
        </is>
      </c>
      <c r="C11" t="n">
        <v>74863</v>
      </c>
      <c r="D11" t="n">
        <v>51651760995</v>
      </c>
      <c r="E11" t="n">
        <v>759277925.5639172</v>
      </c>
      <c r="F11" t="n">
        <v>29384937403.73209</v>
      </c>
      <c r="G11" t="n">
        <v>2350794992.29857</v>
      </c>
      <c r="H11" t="n">
        <v>0.05355115344028425</v>
      </c>
      <c r="I11" t="n">
        <v>0.568904851212655</v>
      </c>
      <c r="J11" t="n">
        <v>0.01469994267257252</v>
      </c>
      <c r="K11" t="n">
        <v>0.04551238809701245</v>
      </c>
    </row>
    <row r="12">
      <c r="A12" t="inlineStr">
        <is>
          <t>NAME_EDUCATION_TYPE</t>
        </is>
      </c>
      <c r="B12" t="inlineStr">
        <is>
          <t>Incomplete higher</t>
        </is>
      </c>
      <c r="C12" t="n">
        <v>10277</v>
      </c>
      <c r="D12" t="n">
        <v>5824289956.5</v>
      </c>
      <c r="E12" t="n">
        <v>137690884.7460474</v>
      </c>
      <c r="F12" t="n">
        <v>4021899374.5604</v>
      </c>
      <c r="G12" t="n">
        <v>321751949.9648321</v>
      </c>
      <c r="H12" t="n">
        <v>0.08484966429891992</v>
      </c>
      <c r="I12" t="n">
        <v>0.6905390021099305</v>
      </c>
      <c r="J12" t="n">
        <v>0.02364080184441749</v>
      </c>
      <c r="K12" t="n">
        <v>0.05524312016879444</v>
      </c>
    </row>
    <row r="13">
      <c r="A13" t="inlineStr">
        <is>
          <t>NAME_EDUCATION_TYPE</t>
        </is>
      </c>
      <c r="B13" t="inlineStr">
        <is>
          <t>Lower secondary</t>
        </is>
      </c>
      <c r="C13" t="n">
        <v>3816</v>
      </c>
      <c r="D13" t="n">
        <v>1868880510</v>
      </c>
      <c r="E13" t="n">
        <v>53681551.48456798</v>
      </c>
      <c r="F13" t="n">
        <v>1391494600.973358</v>
      </c>
      <c r="G13" t="n">
        <v>111319568.0778686</v>
      </c>
      <c r="H13" t="n">
        <v>0.1092767295597484</v>
      </c>
      <c r="I13" t="n">
        <v>0.7445604967935366</v>
      </c>
      <c r="J13" t="n">
        <v>0.02872390781397147</v>
      </c>
      <c r="K13" t="n">
        <v>0.05956483974348293</v>
      </c>
    </row>
    <row r="14">
      <c r="A14" t="inlineStr">
        <is>
          <t>NAME_EDUCATION_TYPE</t>
        </is>
      </c>
      <c r="B14" t="inlineStr">
        <is>
          <t>Academic degree</t>
        </is>
      </c>
      <c r="C14" t="n">
        <v>164</v>
      </c>
      <c r="D14" t="n">
        <v>118656562.5</v>
      </c>
      <c r="E14" t="n">
        <v>1319749.039469714</v>
      </c>
      <c r="F14" t="n">
        <v>59166092.25473964</v>
      </c>
      <c r="G14" t="n">
        <v>4733287.380379172</v>
      </c>
      <c r="H14" t="n">
        <v>0.01829268292682927</v>
      </c>
      <c r="I14" t="n">
        <v>0.4986331224178152</v>
      </c>
      <c r="J14" t="n">
        <v>0.01112242771629014</v>
      </c>
      <c r="K14" t="n">
        <v>0.03989064979342522</v>
      </c>
    </row>
    <row r="15">
      <c r="A15" t="inlineStr">
        <is>
          <t>NAME_CONTRACT_TYPE</t>
        </is>
      </c>
      <c r="B15" t="inlineStr">
        <is>
          <t>Cash loans</t>
        </is>
      </c>
      <c r="C15" t="n">
        <v>278232</v>
      </c>
      <c r="D15" t="n">
        <v>174720161695.5</v>
      </c>
      <c r="E15" t="n">
        <v>3627200168.592808</v>
      </c>
      <c r="F15" t="n">
        <v>115735687894.7981</v>
      </c>
      <c r="G15" t="n">
        <v>9258855031.583839</v>
      </c>
      <c r="H15" t="n">
        <v>0.08345912763449208</v>
      </c>
      <c r="I15" t="n">
        <v>0.6624060255650445</v>
      </c>
      <c r="J15" t="n">
        <v>0.02076005501250763</v>
      </c>
      <c r="K15" t="n">
        <v>0.05299248204520352</v>
      </c>
    </row>
    <row r="16">
      <c r="A16" t="inlineStr">
        <is>
          <t>NAME_CONTRACT_TYPE</t>
        </is>
      </c>
      <c r="B16" t="inlineStr">
        <is>
          <t>Revolving loans</t>
        </is>
      </c>
      <c r="C16" t="n">
        <v>29279</v>
      </c>
      <c r="D16" t="n">
        <v>9486922500</v>
      </c>
      <c r="E16" t="n">
        <v>290445563.9918545</v>
      </c>
      <c r="F16" t="n">
        <v>6225666017.157652</v>
      </c>
      <c r="G16" t="n">
        <v>498053281.3726124</v>
      </c>
      <c r="H16" t="n">
        <v>0.05478329177909082</v>
      </c>
      <c r="I16" t="n">
        <v>0.6562366264884795</v>
      </c>
      <c r="J16" t="n">
        <v>0.03061536172471679</v>
      </c>
      <c r="K16" t="n">
        <v>0.05249893011907839</v>
      </c>
    </row>
    <row r="17">
      <c r="A17" t="inlineStr">
        <is>
          <t>REGION_RATING_CLIENT</t>
        </is>
      </c>
      <c r="B17" t="inlineStr">
        <is>
          <t>2</t>
        </is>
      </c>
      <c r="C17" t="n">
        <v>226984</v>
      </c>
      <c r="D17" t="n">
        <v>132016389795</v>
      </c>
      <c r="E17" t="n">
        <v>2785722442.474531</v>
      </c>
      <c r="F17" t="n">
        <v>87786179260.47429</v>
      </c>
      <c r="G17" t="n">
        <v>7022894340.837936</v>
      </c>
      <c r="H17" t="n">
        <v>0.07889102315581716</v>
      </c>
      <c r="I17" t="n">
        <v>0.6649642472180307</v>
      </c>
      <c r="J17" t="n">
        <v>0.02110133784752261</v>
      </c>
      <c r="K17" t="n">
        <v>0.05319713977744241</v>
      </c>
    </row>
    <row r="18">
      <c r="A18" t="inlineStr">
        <is>
          <t>REGION_RATING_CLIENT</t>
        </is>
      </c>
      <c r="B18" t="inlineStr">
        <is>
          <t>3</t>
        </is>
      </c>
      <c r="C18" t="n">
        <v>48330</v>
      </c>
      <c r="D18" t="n">
        <v>27721276767</v>
      </c>
      <c r="E18" t="n">
        <v>805419379.6106751</v>
      </c>
      <c r="F18" t="n">
        <v>20765705661.27279</v>
      </c>
      <c r="G18" t="n">
        <v>1661256452.901824</v>
      </c>
      <c r="H18" t="n">
        <v>0.1110283467825367</v>
      </c>
      <c r="I18" t="n">
        <v>0.7490890782488321</v>
      </c>
      <c r="J18" t="n">
        <v>0.02905419495574834</v>
      </c>
      <c r="K18" t="n">
        <v>0.05992712625990659</v>
      </c>
    </row>
    <row r="19">
      <c r="A19" t="inlineStr">
        <is>
          <t>REGION_RATING_CLIENT</t>
        </is>
      </c>
      <c r="B19" t="inlineStr">
        <is>
          <t>1</t>
        </is>
      </c>
      <c r="C19" t="n">
        <v>32197</v>
      </c>
      <c r="D19" t="n">
        <v>24469417633.5</v>
      </c>
      <c r="E19" t="n">
        <v>326503910.49946</v>
      </c>
      <c r="F19" t="n">
        <v>13409468990.20857</v>
      </c>
      <c r="G19" t="n">
        <v>1072757519.216686</v>
      </c>
      <c r="H19" t="n">
        <v>0.04820324874988353</v>
      </c>
      <c r="I19" t="n">
        <v>0.5480093229456453</v>
      </c>
      <c r="J19" t="n">
        <v>0.01334334618787404</v>
      </c>
      <c r="K19" t="n">
        <v>0.04384074583565162</v>
      </c>
    </row>
  </sheetData>
  <conditionalFormatting sqref="F2:F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EAD</t>
        </is>
      </c>
      <c r="B2" t="n">
        <v>184207084195.5</v>
      </c>
    </row>
    <row r="3">
      <c r="A3" t="inlineStr">
        <is>
          <t>Total RWA</t>
        </is>
      </c>
      <c r="B3" t="n">
        <v>121961353911.9556</v>
      </c>
    </row>
    <row r="4">
      <c r="A4" t="inlineStr">
        <is>
          <t>Portfolio RWA density</t>
        </is>
      </c>
      <c r="B4" t="n">
        <v>0.6620882928830103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45" customHeight="1">
      <c r="A2" s="5" t="n">
        <v>1</v>
      </c>
      <c r="B2" s="5" t="inlineStr">
        <is>
          <t>Portfolio RWA density meets the statistical-robustness bar</t>
        </is>
      </c>
      <c r="C2" s="5" t="inlineStr">
        <is>
          <t>Chi-square p=0, Cramer's V 0.3754 (95% bootstrap CI [0.3698, 0.3810]); 3/3 validation checks PASS.</t>
        </is>
      </c>
      <c r="D2" s="5" t="inlineStr">
        <is>
          <t>Portfolio RWA density 66.21%; highest-density segment NAME_INCOME_TYPE=Unemployed (90.22%).</t>
        </is>
      </c>
      <c r="E2" s="5" t="inlineStr">
        <is>
          <t>No further tuning required this cycle.</t>
        </is>
      </c>
      <c r="F2" s="5" t="inlineStr">
        <is>
          <t>Identifies which real portfolio segments concentrate capital demand -- informs Problem 5 (Capital Concentration by Segment).</t>
        </is>
      </c>
      <c r="G2" s="5" t="inlineStr">
        <is>
          <t>Re-run after any Notebook 01 (MP2) re-run or LGD/correlation assumption update.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 ht="60" customHeight="1">
      <c r="A2" s="6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2026-09-02T09:24:55Z</dcterms:created>
  <dcterms:modified xmlns:dcterms="http://purl.org/dc/terms/" xmlns:xsi="http://www.w3.org/2001/XMLSchema-instance" xsi:type="dcterms:W3CDTF">2026-09-10T16:27:49Z</dcterms:modified>
</cp:coreProperties>
</file>