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Expected Loss &amp; Capita" sheetId="3" state="visible" r:id="rId3"/>
    <sheet xmlns:r="http://schemas.openxmlformats.org/officeDocument/2006/relationships" name="P02 Basel RWA Portfolio An" sheetId="4" state="visible" r:id="rId4"/>
    <sheet xmlns:r="http://schemas.openxmlformats.org/officeDocument/2006/relationships" name="P03 Economic Capital &amp; Une" sheetId="5" state="visible" r:id="rId5"/>
    <sheet xmlns:r="http://schemas.openxmlformats.org/officeDocument/2006/relationships" name="P04 Macro Stress Testing" sheetId="6" state="visible" r:id="rId6"/>
    <sheet xmlns:r="http://schemas.openxmlformats.org/officeDocument/2006/relationships" name="P05 Capital Concentratio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Three Lenses" sheetId="9" state="visible" r:id="rId9"/>
    <sheet xmlns:r="http://schemas.openxmlformats.org/officeDocument/2006/relationships" name="Illustrative Benefit" sheetId="10" state="visible" r:id="rId10"/>
    <sheet xmlns:r="http://schemas.openxmlformats.org/officeDocument/2006/relationships" name="ROI Timeline" sheetId="11" state="visible" r:id="rId11"/>
    <sheet xmlns:r="http://schemas.openxmlformats.org/officeDocument/2006/relationships" name="Financial Impact" sheetId="12" state="visible" r:id="rId12"/>
    <sheet xmlns:r="http://schemas.openxmlformats.org/officeDocument/2006/relationships" name="SMART Insights" sheetId="13" state="visible" r:id="rId13"/>
    <sheet xmlns:r="http://schemas.openxmlformats.org/officeDocument/2006/relationships" name="Disclosures &amp;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Three Real Lenses on Capital — Compared, Never Summed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Rollup'!$B$24:$B$27</f>
            </numRef>
          </cat>
          <val>
            <numRef>
              <f>'Executive Rollup'!$C$24:$C$27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Capital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'P01 Expected Loss &amp; Capita'!B20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'P01 Expected Loss &amp; Capita'!$A$21:$A$24</f>
            </numRef>
          </cat>
          <val>
            <numRef>
              <f>'P01 Expected Loss &amp; Capita'!$B$21:$B$24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total_capital_requirement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RWA Density by PD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'P02 Basel RWA Portfolio An'!B20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'P02 Basel RWA Portfolio An'!$A$21:$A$25</f>
            </numRef>
          </cat>
          <val>
            <numRef>
              <f>'P02 Basel RWA Portfolio An'!$B$21:$B$25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rwa_density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Economic Capital by Confidence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'P03 Economic Capital &amp; Une'!B20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'P03 Economic Capital &amp; Une'!$A$21:$A$24</f>
            </numRef>
          </cat>
          <val>
            <numRef>
              <f>'P03 Economic Capital &amp; Une'!$B$21:$B$24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economic_capital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Capital by Stress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'P04 Macro Stress Testing'!B20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'P04 Macro Stress Testing'!$A$21:$A$23</f>
            </numRef>
          </cat>
          <val>
            <numRef>
              <f>'P04 Macro Stress Testing'!$B$21:$B$23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total_capital_requirement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3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P01ExpectedLossCapit" displayName="TP01ExpectedLossCapi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BaselRWAPortfolio" displayName="TP02BaselRWAPortfolio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EconomicCapitalUn" displayName="TP03EconomicCapitalUn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MacroStressTestin" displayName="TP04MacroStressTestin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CapitalConcentrat" displayName="TP05CapitalConcentra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deployment_verdict"/>
    <tableColumn id="6" name="integrity_checks"/>
    <tableColumn id="7" name="headline_metric"/>
    <tableColumn id="8" name="runtime_seconds"/>
  </tableColumns>
  <tableStyleInfo name="TableStyleMedium2" showRowStripes="1"/>
</table>
</file>

<file path=xl/tables/table7.xml><?xml version="1.0" encoding="utf-8"?>
<table xmlns="http://schemas.openxmlformats.org/spreadsheetml/2006/main" id="7" name="TThreeLenses" displayName="TThreeLenses" ref="A1:B5" headerRowCount="1">
  <autoFilter ref="A1:B5"/>
  <tableColumns count="2">
    <tableColumn id="1" name="lens"/>
    <tableColumn id="2" name="capital_usd"/>
  </tableColumns>
  <tableStyleInfo name="TableStyleMedium2" showRowStripes="1"/>
</table>
</file>

<file path=xl/tables/table8.xml><?xml version="1.0" encoding="utf-8"?>
<table xmlns="http://schemas.openxmlformats.org/spreadsheetml/2006/main" id="8" name="TIllustrativeBenefit" displayName="TIllustrativeBenefit" ref="A1:F6" headerRowCount="1">
  <autoFilter ref="A1:F6"/>
  <tableColumns count="6">
    <tableColumn id="1" name="notebook_id"/>
    <tableColumn id="2" name="problem"/>
    <tableColumn id="3" name="kind"/>
    <tableColumn id="4" name="label"/>
    <tableColumn id="5" name="usd"/>
    <tableColumn id="6" name="portfolio_scale_usd"/>
  </tableColumns>
  <tableStyleInfo name="TableStyleMedium2" showRowStripes="1"/>
</table>
</file>

<file path=xl/tables/table9.xml><?xml version="1.0" encoding="utf-8"?>
<table xmlns="http://schemas.openxmlformats.org/spreadsheetml/2006/main" id="9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1"/>
    <row r="2">
      <c r="B2" s="19" t="inlineStr">
        <is>
          <t>MEGA PROJECT 2 — REAL REGULATORY CAPITAL ROLLUP</t>
        </is>
      </c>
    </row>
    <row r="3"/>
    <row r="4">
      <c r="B4" s="20" t="inlineStr">
        <is>
          <t>Real Pillar-1 Baseline Capital Requirement</t>
        </is>
      </c>
    </row>
    <row r="5">
      <c r="B5" s="21" t="inlineStr">
        <is>
          <t>$9,756,908,313 ($9.76B)</t>
        </is>
      </c>
    </row>
    <row r="6"/>
    <row r="7">
      <c r="B7" s="20" t="inlineStr">
        <is>
          <t>Real Portfolio RWA Density</t>
        </is>
      </c>
    </row>
    <row r="8">
      <c r="B8" s="21" t="inlineStr">
        <is>
          <t>66.2%</t>
        </is>
      </c>
    </row>
    <row r="9"/>
    <row r="10">
      <c r="B10" s="20" t="inlineStr">
        <is>
          <t>Real 99.9% Economic Capital (Monte Carlo)</t>
        </is>
      </c>
    </row>
    <row r="11">
      <c r="B11" s="21" t="inlineStr">
        <is>
          <t>$9,915,102,034 ($9.92B)</t>
        </is>
      </c>
    </row>
    <row r="12"/>
    <row r="13">
      <c r="B13" s="20" t="inlineStr">
        <is>
          <t>Real Severely Adverse Stressed Capital</t>
        </is>
      </c>
    </row>
    <row r="14">
      <c r="B14" s="21" t="inlineStr">
        <is>
          <t>$20,536,046,971 ($20.54B)</t>
        </is>
      </c>
    </row>
    <row r="15"/>
    <row r="16">
      <c r="B16" s="20" t="inlineStr">
        <is>
          <t>Most Concentrated Real Dimension</t>
        </is>
      </c>
    </row>
    <row r="17">
      <c r="B17" s="21" t="inlineStr">
        <is>
          <t>NAME_CONTRACT_TYPE (HHI=9031)</t>
        </is>
      </c>
    </row>
    <row r="18"/>
    <row r="19">
      <c r="B19" s="20" t="inlineStr">
        <is>
          <t>Real Problems Complete</t>
        </is>
      </c>
    </row>
    <row r="20">
      <c r="B20" s="21" t="inlineStr">
        <is>
          <t>5 / 5</t>
        </is>
      </c>
    </row>
    <row r="21"/>
    <row r="22"/>
    <row r="23">
      <c r="B23" t="inlineStr">
        <is>
          <t>Lens</t>
        </is>
      </c>
      <c r="C23" t="inlineStr">
        <is>
          <t>Capital (USD)</t>
        </is>
      </c>
    </row>
    <row r="24">
      <c r="B24" t="inlineStr">
        <is>
          <t>Pillar-1 Baseline (Notebook 01)</t>
        </is>
      </c>
      <c r="C24" t="n">
        <v>9756908312.956444</v>
      </c>
    </row>
    <row r="25">
      <c r="B25" t="inlineStr">
        <is>
          <t>99.9% Economic Capital — Monte Carlo (Notebook 03)</t>
        </is>
      </c>
      <c r="C25" t="n">
        <v>9915102033.659016</v>
      </c>
    </row>
    <row r="26">
      <c r="B26" t="inlineStr">
        <is>
          <t>Adverse Stress (Notebook 04)</t>
        </is>
      </c>
      <c r="C26" t="n">
        <v>13811041323.20481</v>
      </c>
    </row>
    <row r="27">
      <c r="B27" t="inlineStr">
        <is>
          <t>Severely Adverse Stress (Notebook 04)</t>
        </is>
      </c>
      <c r="C27" t="n">
        <v>20536046970.81691</v>
      </c>
    </row>
    <row r="28"/>
    <row r="29"/>
    <row r="30">
      <c r="B30" s="22" t="inlineStr">
        <is>
          <t>Scale caveat: figures reflect whatever data each notebook was most recently run against. The three lenses above are compared, never summed -- see the 'Three Lenses' sheet and this notebook's own model card for the full disclosure.</t>
        </is>
      </c>
    </row>
    <row r="31"/>
  </sheetData>
  <mergeCells count="14">
    <mergeCell ref="B13:I13"/>
    <mergeCell ref="B7:I7"/>
    <mergeCell ref="B11:I11"/>
    <mergeCell ref="B2:I2"/>
    <mergeCell ref="B16:I16"/>
    <mergeCell ref="B20:I20"/>
    <mergeCell ref="B10:I10"/>
    <mergeCell ref="B5:I5"/>
    <mergeCell ref="B14:I14"/>
    <mergeCell ref="B19:I19"/>
    <mergeCell ref="B30:I31"/>
    <mergeCell ref="B8:I8"/>
    <mergeCell ref="B4:I4"/>
    <mergeCell ref="B17:I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REAL_BASELINE_CAPITAL_USD</t>
        </is>
      </c>
      <c r="B2" s="2" t="n">
        <v>9756908312.959999</v>
      </c>
      <c r="C2" t="inlineStr">
        <is>
          <t>Real Pillar-1 capital requirement from Notebook 01 -- referenced by formulas on the Executive Rollup sheet.</t>
        </is>
      </c>
    </row>
    <row r="3">
      <c r="A3" t="inlineStr">
        <is>
          <t>REAL_EC_999_MC_USD</t>
        </is>
      </c>
      <c r="B3" s="2" t="n">
        <v>9915102033.66</v>
      </c>
      <c r="C3" t="inlineStr">
        <is>
          <t>Real 99.9% Economic Capital from Notebook 03's Monte Carlo run.</t>
        </is>
      </c>
    </row>
    <row r="4">
      <c r="A4" t="inlineStr">
        <is>
          <t>REAL_SEVERE_STRESS_CAPITAL_USD</t>
        </is>
      </c>
      <c r="B4" s="2" t="n">
        <v>20536046970.82</v>
      </c>
      <c r="C4" t="inlineStr">
        <is>
          <t>Real Severely Adverse stressed capital from Notebook 04.</t>
        </is>
      </c>
    </row>
    <row r="5">
      <c r="A5" t="inlineStr">
        <is>
          <t>AVG_MANUAL_CAPITAL_CALC_COST_PER_APPLICANT</t>
        </is>
      </c>
      <c r="B5" s="2" t="n">
        <v>2</v>
      </c>
      <c r="C5" t="inlineStr">
        <is>
          <t>Illustrative operations-cost convention for manual/spreadsheet-based Basel capital-requirement calculation per applicant -- not sourced from actual vendor or staffing rates.</t>
        </is>
      </c>
    </row>
    <row r="6">
      <c r="A6" t="inlineStr">
        <is>
          <t>AVG_MANUAL_RWA_ANALYTICS_COST_PER_APPLICANT</t>
        </is>
      </c>
      <c r="B6" s="2" t="n">
        <v>1</v>
      </c>
      <c r="C6" t="inlineStr">
        <is>
          <t>Illustrative operations-cost convention for manual segment-level RWA / Pillar-3 disclosure analytics per applicant.</t>
        </is>
      </c>
    </row>
    <row r="7">
      <c r="A7" t="inlineStr">
        <is>
          <t>AVG_INDEPENDENT_CAPITAL_VALIDATION_COST_PER_APPLICANT</t>
        </is>
      </c>
      <c r="B7" s="2" t="n">
        <v>0.5</v>
      </c>
      <c r="C7" t="inlineStr">
        <is>
          <t>Illustrative operations-cost convention for periodic independent economic-capital (Monte Carlo) validation per applicant.</t>
        </is>
      </c>
    </row>
    <row r="8">
      <c r="A8" t="inlineStr">
        <is>
          <t>TOTAL_ANNUAL_ILLUSTRATIVE_BENEFIT_USD</t>
        </is>
      </c>
      <c r="B8" s="2" t="n">
        <v>1076288.5</v>
      </c>
      <c r="C8" t="inlineStr">
        <is>
          <t>Real sum of Problems 1-3's illustrative benefit figures only -- Problems 4-5's real cost/risk-context figures are excluded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Expected Loss &amp; Capital Requirement</t>
        </is>
      </c>
    </row>
    <row r="3">
      <c r="A3" t="inlineStr">
        <is>
          <t>Method</t>
        </is>
      </c>
      <c r="B3" t="inlineStr">
        <is>
          <t>Basel retail-IRB Vasicek/ASRF closed-form capital function K(), applied to Mega Project 1's real champion PD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15/15 PASS</t>
        </is>
      </c>
    </row>
    <row r="6">
      <c r="A6" t="inlineStr">
        <is>
          <t>Real Headline Result</t>
        </is>
      </c>
      <c r="B6" t="inlineStr">
        <is>
          <t>$9,756,908,313 ($9.76B) real Pillar-1 capital requirement</t>
        </is>
      </c>
    </row>
    <row r="7">
      <c r="A7" t="inlineStr">
        <is>
          <t>Runtime (s)</t>
        </is>
      </c>
      <c r="B7" t="n">
        <v>48.6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Secured — Real Estate</t>
        </is>
      </c>
      <c r="B21" t="n">
        <v>6340640309.916883</v>
      </c>
    </row>
    <row r="22">
      <c r="A22" t="inlineStr">
        <is>
          <t>Secured — Other (Vehicle/Goods)</t>
        </is>
      </c>
      <c r="B22" t="n">
        <v>912034450.1788971</v>
      </c>
    </row>
    <row r="23">
      <c r="A23" t="inlineStr">
        <is>
          <t>Unsecured — Other Retail</t>
        </is>
      </c>
      <c r="B23" t="n">
        <v>2006180271.488056</v>
      </c>
    </row>
    <row r="24">
      <c r="A24" t="inlineStr">
        <is>
          <t>Revolving (QRRE)</t>
        </is>
      </c>
      <c r="B24" t="n">
        <v>498053281.3726124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Basel RWA Portfolio Analytics</t>
        </is>
      </c>
    </row>
    <row r="3">
      <c r="A3" t="inlineStr">
        <is>
          <t>Method</t>
        </is>
      </c>
      <c r="B3" t="inlineStr">
        <is>
          <t>Real RWA density (RWA / EAD) analytics across real PD bands and real segment dimensions -- a pure analytical layer, trains no model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8/8 PASS</t>
        </is>
      </c>
    </row>
    <row r="6">
      <c r="A6" t="inlineStr">
        <is>
          <t>Real Headline Result</t>
        </is>
      </c>
      <c r="B6" t="inlineStr">
        <is>
          <t>66.2% real portfolio RWA density</t>
        </is>
      </c>
    </row>
    <row r="7">
      <c r="A7" t="inlineStr">
        <is>
          <t>Runtime (s)</t>
        </is>
      </c>
      <c r="B7" t="n">
        <v>1.7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Lowest Risk</t>
        </is>
      </c>
      <c r="B21" t="n">
        <v>0.4830897610013666</v>
      </c>
    </row>
    <row r="22">
      <c r="A22" t="inlineStr">
        <is>
          <t>Low Risk</t>
        </is>
      </c>
      <c r="B22" t="n">
        <v>0.7404558952338187</v>
      </c>
    </row>
    <row r="23">
      <c r="A23" t="inlineStr">
        <is>
          <t>Moderate Risk</t>
        </is>
      </c>
      <c r="B23" t="n">
        <v>0.9555102135364418</v>
      </c>
    </row>
    <row r="24">
      <c r="A24" t="inlineStr">
        <is>
          <t>High Risk</t>
        </is>
      </c>
      <c r="B24" t="n">
        <v>1.12350579422328</v>
      </c>
    </row>
    <row r="25">
      <c r="A25" t="inlineStr">
        <is>
          <t>Highest Risk</t>
        </is>
      </c>
      <c r="B25" t="n">
        <v>1.072282880265496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Economic Capital &amp; Unexpected Loss</t>
        </is>
      </c>
    </row>
    <row r="3">
      <c r="A3" t="inlineStr">
        <is>
          <t>Method</t>
        </is>
      </c>
      <c r="B3" t="inlineStr">
        <is>
          <t>Vectorized, batched Monte Carlo simulation of the same single-factor Vasicek model, cross-checked against the closed form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7/7 PASS</t>
        </is>
      </c>
    </row>
    <row r="6">
      <c r="A6" t="inlineStr">
        <is>
          <t>Real Headline Result</t>
        </is>
      </c>
      <c r="B6" t="inlineStr">
        <is>
          <t>$9,915,102,034 ($9.92B) real 99.9% Economic Capital (Monte Carlo)</t>
        </is>
      </c>
    </row>
    <row r="7">
      <c r="A7" t="inlineStr">
        <is>
          <t>Runtime (s)</t>
        </is>
      </c>
      <c r="B7" t="n">
        <v>717.9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0.95</t>
        </is>
      </c>
      <c r="B21" t="n">
        <v>3754282632.581932</v>
      </c>
    </row>
    <row r="22">
      <c r="A22" t="inlineStr">
        <is>
          <t>0.99</t>
        </is>
      </c>
      <c r="B22" t="n">
        <v>6340557945.630493</v>
      </c>
    </row>
    <row r="23">
      <c r="A23" t="inlineStr">
        <is>
          <t>0.995</t>
        </is>
      </c>
      <c r="B23" t="n">
        <v>7403256551.931837</v>
      </c>
    </row>
    <row r="24">
      <c r="A24" t="inlineStr">
        <is>
          <t>0.999</t>
        </is>
      </c>
      <c r="B24" t="n">
        <v>9915102033.659016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Macro Stress Testing</t>
        </is>
      </c>
    </row>
    <row r="3">
      <c r="A3" t="inlineStr">
        <is>
          <t>Method</t>
        </is>
      </c>
      <c r="B3" t="inlineStr">
        <is>
          <t>Same real Vasicek conditional-PD formula re-evaluated at documented adverse Z values (95th / 99.9th percentile)</t>
        </is>
      </c>
    </row>
    <row r="4">
      <c r="A4" t="inlineStr">
        <is>
          <t>Scenario Validation Verdict</t>
        </is>
      </c>
      <c r="B4" t="inlineStr">
        <is>
          <t>SCENARIO MECHANICS VALIDATED — RECOMMENDED FOR PRODUCTION</t>
        </is>
      </c>
    </row>
    <row r="5">
      <c r="A5" t="inlineStr">
        <is>
          <t>Integrity Checks</t>
        </is>
      </c>
      <c r="B5" t="inlineStr">
        <is>
          <t>7/7 PASS</t>
        </is>
      </c>
    </row>
    <row r="6">
      <c r="A6" t="inlineStr">
        <is>
          <t>Real Headline Result</t>
        </is>
      </c>
      <c r="B6" t="inlineStr">
        <is>
          <t>$20,536,046,971 ($20.54B) real Severely Adverse capital (+110.5% vs. baseline)</t>
        </is>
      </c>
    </row>
    <row r="7">
      <c r="A7" t="inlineStr">
        <is>
          <t>Runtime (s)</t>
        </is>
      </c>
      <c r="B7" t="n">
        <v>1.9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Baseline</t>
        </is>
      </c>
      <c r="B21" t="n">
        <v>9756908312.956444</v>
      </c>
    </row>
    <row r="22">
      <c r="A22" t="inlineStr">
        <is>
          <t>Adverse</t>
        </is>
      </c>
      <c r="B22" t="n">
        <v>13811041323.20481</v>
      </c>
    </row>
    <row r="23">
      <c r="A23" t="inlineStr">
        <is>
          <t>Severely Adverse</t>
        </is>
      </c>
      <c r="B23" t="n">
        <v>20536046970.81691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Capital Concentration by Segment</t>
        </is>
      </c>
    </row>
    <row r="3">
      <c r="A3" t="inlineStr">
        <is>
          <t>Method</t>
        </is>
      </c>
      <c r="B3" t="inlineStr">
        <is>
          <t>Herfindahl-Hirschman Index (HHI) of real capital shares across 5 real segment/geography dimensions</t>
        </is>
      </c>
    </row>
    <row r="4">
      <c r="A4" t="inlineStr">
        <is>
          <t>Concentration Validation Verdict</t>
        </is>
      </c>
      <c r="B4" t="inlineStr">
        <is>
          <t>CONCENTRATION METRICS VALIDATED — RECOMMENDED FOR PRODUCTION</t>
        </is>
      </c>
    </row>
    <row r="5">
      <c r="A5" t="inlineStr">
        <is>
          <t>Integrity Checks</t>
        </is>
      </c>
      <c r="B5" t="inlineStr">
        <is>
          <t>5/5 PASS</t>
        </is>
      </c>
    </row>
    <row r="6">
      <c r="A6" t="inlineStr">
        <is>
          <t>Real Headline Result</t>
        </is>
      </c>
      <c r="B6" t="inlineStr">
        <is>
          <t>HHI=9031 (Highly Concentrated) by NAME_CONTRACT_TYPE</t>
        </is>
      </c>
    </row>
    <row r="7">
      <c r="A7" t="inlineStr">
        <is>
          <t>Runtime (s)</t>
        </is>
      </c>
      <c r="B7" t="n">
        <v>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  <col width="19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deployment_verdict</t>
        </is>
      </c>
      <c r="F1" s="8" t="inlineStr">
        <is>
          <t>integrity_checks</t>
        </is>
      </c>
      <c r="G1" s="8" t="inlineStr">
        <is>
          <t>headline_metric</t>
        </is>
      </c>
      <c r="H1" s="8" t="inlineStr">
        <is>
          <t>runtime_seconds</t>
        </is>
      </c>
    </row>
    <row r="2">
      <c r="A2" t="inlineStr">
        <is>
          <t>01</t>
        </is>
      </c>
      <c r="B2" t="inlineStr">
        <is>
          <t>Problem 1 — Expected Loss &amp; Capital Requirement</t>
        </is>
      </c>
      <c r="C2" t="inlineStr">
        <is>
          <t>Basel retail-IRB Vasicek/ASRF closed-form capital function K(), applied to Mega Project 1's real champion PD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inlineStr">
        <is>
          <t>15/15 PASS</t>
        </is>
      </c>
      <c r="G2" t="inlineStr">
        <is>
          <t>$9,756,908,313 ($9.76B) real Pillar-1 capital requirement</t>
        </is>
      </c>
      <c r="H2" t="n">
        <v>48.6</v>
      </c>
    </row>
    <row r="3">
      <c r="A3" t="inlineStr">
        <is>
          <t>02</t>
        </is>
      </c>
      <c r="B3" t="inlineStr">
        <is>
          <t>Problem 2 — Basel RWA Portfolio Analytics</t>
        </is>
      </c>
      <c r="C3" t="inlineStr">
        <is>
          <t>Real RWA density (RWA / EAD) analytics across real PD bands and real segment dimensions -- a pure analytical layer, trains no model</t>
        </is>
      </c>
      <c r="D3" t="inlineStr">
        <is>
          <t>Statistical Robustness Verdict</t>
        </is>
      </c>
      <c r="E3" t="inlineStr">
        <is>
          <t>STATISTICALLY ROBUST — RECOMMENDED FOR PRODUCTION</t>
        </is>
      </c>
      <c r="F3" t="inlineStr">
        <is>
          <t>8/8 PASS</t>
        </is>
      </c>
      <c r="G3" t="inlineStr">
        <is>
          <t>66.2% real portfolio RWA density</t>
        </is>
      </c>
      <c r="H3" t="n">
        <v>1.7</v>
      </c>
    </row>
    <row r="4">
      <c r="A4" t="inlineStr">
        <is>
          <t>03</t>
        </is>
      </c>
      <c r="B4" t="inlineStr">
        <is>
          <t>Problem 3 — Economic Capital &amp; Unexpected Loss</t>
        </is>
      </c>
      <c r="C4" t="inlineStr">
        <is>
          <t>Vectorized, batched Monte Carlo simulation of the same single-factor Vasicek model, cross-checked against the closed form</t>
        </is>
      </c>
      <c r="D4" t="inlineStr">
        <is>
          <t>Statistical Robustness Verdict</t>
        </is>
      </c>
      <c r="E4" t="inlineStr">
        <is>
          <t>STATISTICALLY ROBUST — RECOMMENDED FOR PRODUCTION</t>
        </is>
      </c>
      <c r="F4" t="inlineStr">
        <is>
          <t>7/7 PASS</t>
        </is>
      </c>
      <c r="G4" t="inlineStr">
        <is>
          <t>$9,915,102,034 ($9.92B) real 99.9% Economic Capital (Monte Carlo)</t>
        </is>
      </c>
      <c r="H4" t="n">
        <v>717.9</v>
      </c>
    </row>
    <row r="5">
      <c r="A5" t="inlineStr">
        <is>
          <t>04</t>
        </is>
      </c>
      <c r="B5" t="inlineStr">
        <is>
          <t>Problem 4 — Macro Stress Testing</t>
        </is>
      </c>
      <c r="C5" t="inlineStr">
        <is>
          <t>Same real Vasicek conditional-PD formula re-evaluated at documented adverse Z values (95th / 99.9th percentile)</t>
        </is>
      </c>
      <c r="D5" t="inlineStr">
        <is>
          <t>Scenario Validation Verdict</t>
        </is>
      </c>
      <c r="E5" t="inlineStr">
        <is>
          <t>SCENARIO MECHANICS VALIDATED — RECOMMENDED FOR PRODUCTION</t>
        </is>
      </c>
      <c r="F5" t="inlineStr">
        <is>
          <t>7/7 PASS</t>
        </is>
      </c>
      <c r="G5" t="inlineStr">
        <is>
          <t>$20,536,046,971 ($20.54B) real Severely Adverse capital (+110.5% vs. baseline)</t>
        </is>
      </c>
      <c r="H5" t="n">
        <v>1.9</v>
      </c>
    </row>
    <row r="6">
      <c r="A6" t="inlineStr">
        <is>
          <t>05</t>
        </is>
      </c>
      <c r="B6" t="inlineStr">
        <is>
          <t>Problem 5 — Capital Concentration by Segment</t>
        </is>
      </c>
      <c r="C6" t="inlineStr">
        <is>
          <t>Herfindahl-Hirschman Index (HHI) of real capital shares across 5 real segment/geography dimensions</t>
        </is>
      </c>
      <c r="D6" t="inlineStr">
        <is>
          <t>Concentration Validation Verdict</t>
        </is>
      </c>
      <c r="E6" t="inlineStr">
        <is>
          <t>CONCENTRATION METRICS VALIDATED — RECOMMENDED FOR PRODUCTION</t>
        </is>
      </c>
      <c r="F6" t="inlineStr">
        <is>
          <t>5/5 PASS</t>
        </is>
      </c>
      <c r="G6" t="inlineStr">
        <is>
          <t>HHI=9031 (Highly Concentrated) by NAME_CONTRACT_TYPE</t>
        </is>
      </c>
      <c r="H6" t="n">
        <v>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9" t="inlineStr">
        <is>
          <t>lens</t>
        </is>
      </c>
      <c r="B1" s="9" t="inlineStr">
        <is>
          <t>capital_usd</t>
        </is>
      </c>
    </row>
    <row r="2">
      <c r="A2" t="inlineStr">
        <is>
          <t>Pillar-1 Baseline (Notebook 01)</t>
        </is>
      </c>
      <c r="B2" t="n">
        <v>9756908312.956444</v>
      </c>
    </row>
    <row r="3">
      <c r="A3" t="inlineStr">
        <is>
          <t>99.9% Economic Capital — Monte Carlo (Notebook 03)</t>
        </is>
      </c>
      <c r="B3" t="n">
        <v>9915102033.659016</v>
      </c>
    </row>
    <row r="4">
      <c r="A4" t="inlineStr">
        <is>
          <t>Adverse Stress (Notebook 04)</t>
        </is>
      </c>
      <c r="B4" t="n">
        <v>13811041323.20481</v>
      </c>
    </row>
    <row r="5">
      <c r="A5" t="inlineStr">
        <is>
          <t>Severely Adverse Stress (Notebook 04)</t>
        </is>
      </c>
      <c r="B5" t="n">
        <v>20536046970.81691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0" t="inlineStr">
        <is>
          <t>notebook_id</t>
        </is>
      </c>
      <c r="B1" s="10" t="inlineStr">
        <is>
          <t>problem</t>
        </is>
      </c>
      <c r="C1" s="10" t="inlineStr">
        <is>
          <t>kind</t>
        </is>
      </c>
      <c r="D1" s="10" t="inlineStr">
        <is>
          <t>label</t>
        </is>
      </c>
      <c r="E1" s="10" t="inlineStr">
        <is>
          <t>usd</t>
        </is>
      </c>
      <c r="F1" s="10" t="inlineStr">
        <is>
          <t>portfolio_scale_usd</t>
        </is>
      </c>
    </row>
    <row r="2">
      <c r="A2" t="inlineStr">
        <is>
          <t>01</t>
        </is>
      </c>
      <c r="B2" t="inlineStr">
        <is>
          <t>Problem 1 — Expected Loss &amp; Capital Requirement</t>
        </is>
      </c>
      <c r="C2" t="inlineStr">
        <is>
          <t>benefit</t>
        </is>
      </c>
      <c r="D2" t="inlineStr">
        <is>
          <t>Avoided cost of manual/spreadsheet Basel capital-requirement calculation</t>
        </is>
      </c>
      <c r="E2" t="n">
        <v>615022</v>
      </c>
      <c r="F2" t="n">
        <v>184207084195.5</v>
      </c>
    </row>
    <row r="3">
      <c r="A3" t="inlineStr">
        <is>
          <t>02</t>
        </is>
      </c>
      <c r="B3" t="inlineStr">
        <is>
          <t>Problem 2 — Basel RWA Portfolio Analytics</t>
        </is>
      </c>
      <c r="C3" t="inlineStr">
        <is>
          <t>benefit</t>
        </is>
      </c>
      <c r="D3" t="inlineStr">
        <is>
          <t>Avoided cost of manual segment-level RWA / Pillar-3 analytics</t>
        </is>
      </c>
      <c r="E3" t="n">
        <v>307511</v>
      </c>
      <c r="F3" t="n">
        <v>184207084195.5</v>
      </c>
    </row>
    <row r="4">
      <c r="A4" t="inlineStr">
        <is>
          <t>03</t>
        </is>
      </c>
      <c r="B4" t="inlineStr">
        <is>
          <t>Problem 3 — Economic Capital &amp; Unexpected Loss</t>
        </is>
      </c>
      <c r="C4" t="inlineStr">
        <is>
          <t>benefit</t>
        </is>
      </c>
      <c r="D4" t="inlineStr">
        <is>
          <t>Avoided cost of periodic independent economic-capital (Monte Carlo) validation</t>
        </is>
      </c>
      <c r="E4" t="n">
        <v>153755.5</v>
      </c>
      <c r="F4" t="n">
        <v>184207084195.5</v>
      </c>
    </row>
    <row r="5">
      <c r="A5" t="inlineStr">
        <is>
          <t>04</t>
        </is>
      </c>
      <c r="B5" t="inlineStr">
        <is>
          <t>Problem 4 — Macro Stress Testing</t>
        </is>
      </c>
      <c r="C5" t="inlineStr">
        <is>
          <t>cost_context</t>
        </is>
      </c>
      <c r="D5" t="inlineStr">
        <is>
          <t>Real incremental capital required under Severely Adverse stress vs. Baseline (informational risk quantification, not a savings this notebook produced)</t>
        </is>
      </c>
      <c r="E5" t="n">
        <v>10779138657.86</v>
      </c>
      <c r="F5" t="n">
        <v>184207084195.5</v>
      </c>
    </row>
    <row r="6">
      <c r="A6" t="inlineStr">
        <is>
          <t>05</t>
        </is>
      </c>
      <c r="B6" t="inlineStr">
        <is>
          <t>Problem 5 — Capital Concentration by Segment</t>
        </is>
      </c>
      <c r="C6" t="inlineStr">
        <is>
          <t>cost_context</t>
        </is>
      </c>
      <c r="D6" t="inlineStr">
        <is>
          <t>Real capital exposure in the single most concentrated real dimension (NAME_CONTRACT_TYPE) -- informational, flags Pillar 2 concentration risk, not a savings</t>
        </is>
      </c>
      <c r="E6" t="n">
        <v>9756908312.959999</v>
      </c>
      <c r="F6" t="n">
        <v>184207084195.5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3" t="inlineStr">
        <is>
          <t>horizon</t>
        </is>
      </c>
      <c r="B1" s="3" t="inlineStr">
        <is>
          <t>months</t>
        </is>
      </c>
      <c r="C1" s="3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89690.70833333333</v>
      </c>
    </row>
    <row r="3">
      <c r="A3" t="inlineStr">
        <is>
          <t>6 Months</t>
        </is>
      </c>
      <c r="B3" t="n">
        <v>6</v>
      </c>
      <c r="C3" t="n">
        <v>538144.25</v>
      </c>
    </row>
    <row r="4">
      <c r="A4" t="inlineStr">
        <is>
          <t>1 Year</t>
        </is>
      </c>
      <c r="B4" t="n">
        <v>12</v>
      </c>
      <c r="C4" t="n">
        <v>1076288.5</v>
      </c>
    </row>
    <row r="5">
      <c r="A5" t="inlineStr">
        <is>
          <t>2 Years</t>
        </is>
      </c>
      <c r="B5" t="n">
        <v>24</v>
      </c>
      <c r="C5" t="n">
        <v>2152577</v>
      </c>
    </row>
    <row r="6">
      <c r="A6" t="inlineStr">
        <is>
          <t>3 Years</t>
        </is>
      </c>
      <c r="B6" t="n">
        <v>36</v>
      </c>
      <c r="C6" t="n">
        <v>3228865.5</v>
      </c>
    </row>
    <row r="7">
      <c r="A7" t="inlineStr">
        <is>
          <t>5 Years</t>
        </is>
      </c>
      <c r="B7" t="n">
        <v>60</v>
      </c>
      <c r="C7" t="n">
        <v>5381442.5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Pillar-1 Baseline Capital</t>
        </is>
      </c>
      <c r="B2">
        <f>Assumptions!$B$2</f>
        <v/>
      </c>
    </row>
    <row r="3">
      <c r="A3" t="inlineStr">
        <is>
          <t>Real 99.9% Economic Capital (MC)</t>
        </is>
      </c>
      <c r="B3">
        <f>Assumptions!$B$3</f>
        <v/>
      </c>
    </row>
    <row r="4">
      <c r="A4" t="inlineStr">
        <is>
          <t>EC vs. Baseline Relative Difference</t>
        </is>
      </c>
      <c r="B4">
        <f>(Assumptions!$B$3-Assumptions!$B$2)/Assumptions!$B$2</f>
        <v/>
      </c>
    </row>
    <row r="5">
      <c r="A5" t="inlineStr">
        <is>
          <t>Real Severely Adverse Stressed Capital</t>
        </is>
      </c>
      <c r="B5">
        <f>Assumptions!$B$4</f>
        <v/>
      </c>
    </row>
    <row r="6">
      <c r="A6" t="inlineStr">
        <is>
          <t>Severely Adverse vs. Baseline (%)</t>
        </is>
      </c>
      <c r="B6">
        <f>(Assumptions!$B$4-Assumptions!$B$2)/Assumptions!$B$2</f>
        <v/>
      </c>
    </row>
    <row r="7">
      <c r="A7" t="inlineStr">
        <is>
          <t>Real Annual Illustrative Benefit Run-Rate (Problems 1-3)</t>
        </is>
      </c>
      <c r="B7">
        <f>Assumptions!$B$8</f>
        <v/>
      </c>
    </row>
    <row r="8">
      <c r="A8" t="inlineStr">
        <is>
          <t>ASSUMPTION-Based 1-Year Cumulative Illustrative Benefit</t>
        </is>
      </c>
      <c r="B8">
        <f>Assumptions!$B$8*1</f>
        <v/>
      </c>
    </row>
    <row r="9">
      <c r="A9" t="inlineStr">
        <is>
          <t>ASSUMPTION-Based 3-Year Cumulative Illustrative Benefit</t>
        </is>
      </c>
      <c r="B9">
        <f>Assumptions!$B$8*3</f>
        <v/>
      </c>
    </row>
    <row r="10">
      <c r="A10" t="inlineStr">
        <is>
          <t>ASSUMPTION-Based 5-Year Cumulative Illustrative Benefit</t>
        </is>
      </c>
      <c r="B10">
        <f>Assumptions!$B$8*5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11" t="n">
        <v>1</v>
      </c>
      <c r="B2" s="11" t="inlineStr">
        <is>
          <t>Problem 1 — Expected Loss &amp; Capital Requirement: STATISTICALLY ROBUST</t>
        </is>
      </c>
      <c r="C2" s="11" t="inlineStr">
        <is>
          <t>Problem 1 — Expected Loss &amp; Capital Requirement uses Basel retail-IRB Vasicek/ASRF closed-form capital function K(), applied to Mega Project 1's real champion PD and passed 15/15 PASS real integrity self-checks on its most recent run.</t>
        </is>
      </c>
      <c r="D2" s="11" t="inlineStr">
        <is>
          <t>Real headline result: $9,756,908,313 ($9.76B) real Pillar-1 capital requirement.</t>
        </is>
      </c>
      <c r="E2" s="11" t="inlineStr">
        <is>
          <t>15/15 PASS real integrity checks passed on this run.</t>
        </is>
      </c>
      <c r="F2" s="11" t="inlineStr">
        <is>
          <t>Statistical Robustness Verdict is this problem's own dedicated validation gate, distinct from the other 2 verdict families used elsewhere in this Mega Project.</t>
        </is>
      </c>
      <c r="G2" s="11" t="inlineStr">
        <is>
          <t>Re-validate the moment this notebook is re-run against real production data.</t>
        </is>
      </c>
    </row>
    <row r="3" ht="60" customHeight="1">
      <c r="A3" s="12" t="n">
        <v>2</v>
      </c>
      <c r="B3" s="12" t="inlineStr">
        <is>
          <t>Problem 2 — Basel RWA Portfolio Analytics: STATISTICALLY ROBUST</t>
        </is>
      </c>
      <c r="C3" s="12" t="inlineStr">
        <is>
          <t>Problem 2 — Basel RWA Portfolio Analytics uses Real RWA density (RWA / EAD) analytics across real PD bands and real segment dimensions -- a pure analytical layer, trains no model and passed 8/8 PASS real integrity self-checks on its most recent run.</t>
        </is>
      </c>
      <c r="D3" s="12" t="inlineStr">
        <is>
          <t>Real headline result: 66.2% real portfolio RWA density.</t>
        </is>
      </c>
      <c r="E3" s="12" t="inlineStr">
        <is>
          <t>8/8 PASS real integrity checks passed on this run.</t>
        </is>
      </c>
      <c r="F3" s="12" t="inlineStr">
        <is>
          <t>Statistical Robustness Verdict is this problem's own dedicated validation gate, distinct from the other 2 verdict families used elsewhere in this Mega Project.</t>
        </is>
      </c>
      <c r="G3" s="12" t="inlineStr">
        <is>
          <t>Re-validate the moment this notebook is re-run against real production data.</t>
        </is>
      </c>
    </row>
    <row r="4" ht="60" customHeight="1">
      <c r="A4" s="13" t="n">
        <v>3</v>
      </c>
      <c r="B4" s="13" t="inlineStr">
        <is>
          <t>Problem 3 — Economic Capital &amp; Unexpected Loss: STATISTICALLY ROBUST</t>
        </is>
      </c>
      <c r="C4" s="13" t="inlineStr">
        <is>
          <t>Problem 3 — Economic Capital &amp; Unexpected Loss uses Vectorized, batched Monte Carlo simulation of the same single-factor Vasicek model, cross-checked against the closed form and passed 7/7 PASS real integrity self-checks on its most recent run.</t>
        </is>
      </c>
      <c r="D4" s="13" t="inlineStr">
        <is>
          <t>Real headline result: $9,915,102,034 ($9.92B) real 99.9% Economic Capital (Monte Carlo).</t>
        </is>
      </c>
      <c r="E4" s="13" t="inlineStr">
        <is>
          <t>7/7 PASS real integrity checks passed on this run.</t>
        </is>
      </c>
      <c r="F4" s="13" t="inlineStr">
        <is>
          <t>Statistical Robustness Verdict is this problem's own dedicated validation gate, distinct from the other 2 verdict families used elsewhere in this Mega Project.</t>
        </is>
      </c>
      <c r="G4" s="13" t="inlineStr">
        <is>
          <t>Re-validate the moment this notebook is re-run against real production data.</t>
        </is>
      </c>
    </row>
    <row r="5" ht="60" customHeight="1">
      <c r="A5" s="14" t="n">
        <v>4</v>
      </c>
      <c r="B5" s="14" t="inlineStr">
        <is>
          <t>Problem 4 — Macro Stress Testing: SCENARIO MECHANICS VALIDATED</t>
        </is>
      </c>
      <c r="C5" s="14" t="inlineStr">
        <is>
          <t>Problem 4 — Macro Stress Testing uses Same real Vasicek conditional-PD formula re-evaluated at documented adverse Z values (95th / 99.9th percentile) and passed 7/7 PASS real integrity self-checks on its most recent run.</t>
        </is>
      </c>
      <c r="D5" s="14" t="inlineStr">
        <is>
          <t>Real headline result: $20,536,046,971 ($20.54B) real Severely Adverse capital (+110.5% vs. baseline).</t>
        </is>
      </c>
      <c r="E5" s="14" t="inlineStr">
        <is>
          <t>7/7 PASS real integrity checks passed on this run.</t>
        </is>
      </c>
      <c r="F5" s="14" t="inlineStr">
        <is>
          <t>Scenario Validation Verdict is this problem's own dedicated validation gate, distinct from the other 2 verdict families used elsewhere in this Mega Project.</t>
        </is>
      </c>
      <c r="G5" s="14" t="inlineStr">
        <is>
          <t>Re-validate the moment this notebook is re-run against real production data.</t>
        </is>
      </c>
    </row>
    <row r="6" ht="60" customHeight="1">
      <c r="A6" s="15" t="n">
        <v>5</v>
      </c>
      <c r="B6" s="15" t="inlineStr">
        <is>
          <t>Problem 5 — Capital Concentration by Segment: CONCENTRATION METRICS VALIDATED</t>
        </is>
      </c>
      <c r="C6" s="15" t="inlineStr">
        <is>
          <t>Problem 5 — Capital Concentration by Segment uses Herfindahl-Hirschman Index (HHI) of real capital shares across 5 real segment/geography dimensions and passed 5/5 PASS real integrity self-checks on its most recent run.</t>
        </is>
      </c>
      <c r="D6" s="15" t="inlineStr">
        <is>
          <t>Real headline result: HHI=9031 (Highly Concentrated) by NAME_CONTRACT_TYPE.</t>
        </is>
      </c>
      <c r="E6" s="15" t="inlineStr">
        <is>
          <t>5/5 PASS real integrity checks passed on this run.</t>
        </is>
      </c>
      <c r="F6" s="15" t="inlineStr">
        <is>
          <t>Concentration Validation Verdict is this problem's own dedicated validation gate, distinct from the other 2 verdict families used elsewhere in this Mega Project.</t>
        </is>
      </c>
      <c r="G6" s="15" t="inlineStr">
        <is>
          <t>Re-validate the moment this notebook is re-run against real production data.</t>
        </is>
      </c>
    </row>
    <row r="7" ht="105" customHeight="1">
      <c r="A7" s="16" t="n">
        <v>6</v>
      </c>
      <c r="B7" s="16" t="inlineStr">
        <is>
          <t>Reading this Mega Project's THREE verdict-tier families</t>
        </is>
      </c>
      <c r="C7" s="16" t="inlineStr">
        <is>
          <t>Problems 1-2 report a "Statistical Robustness Verdict" (chi-square/Cramer's V/monotonicity against real TARGET). Problem 3 reports the same name but validates Monte Carlo convergence instead (there is no classifier to validate against TARGET). Problem 4 reports a "Scenario Validation Verdict" and Problem 5 a "Concentration Validation Verdict" -- both deliberately renamed because neither is a statistical-significance test.</t>
        </is>
      </c>
      <c r="D7" s="16" t="inlineStr">
        <is>
          <t>3 distinct verdict-tier names appear across 5 problems, each named for what it actually tests.</t>
        </is>
      </c>
      <c r="E7" s="16" t="inlineStr">
        <is>
          <t>Every notebook's own model card discloses exactly why its verdict tier is named as it is.</t>
        </is>
      </c>
      <c r="F7" s="16" t="inlineStr">
        <is>
          <t>Prevents misreading a deterministic mechanics check (Problems 4-5) as a statistical-significance claim it never makes, or vice versa.</t>
        </is>
      </c>
      <c r="G7" s="16" t="inlineStr">
        <is>
          <t>This distinction is structural to the report and does not change across runs.</t>
        </is>
      </c>
    </row>
    <row r="8" ht="60" customHeight="1">
      <c r="A8" s="17" t="n">
        <v>7</v>
      </c>
      <c r="B8" s="17" t="inlineStr">
        <is>
          <t>The Three Real Lenses on Capital are compared, never summed</t>
        </is>
      </c>
      <c r="C8" s="17" t="inlineStr">
        <is>
          <t>Pillar-1 Baseline, 99.9% Monte Carlo Economic Capital, and Stressed Capital (Adverse / Severely Adverse) are three different real answers to three different questions about the SAME real portfolio -- not three separate capital pools that stack.</t>
        </is>
      </c>
      <c r="D8" s="17" t="inlineStr">
        <is>
          <t>Baseline $9,756,908,313 ($9.76B); 99.9% EC (MC) $9,915,102,034 ($9.92B); Severely Adverse $20,536,046,971 ($20.54B).</t>
        </is>
      </c>
      <c r="E8" s="17" t="inlineStr">
        <is>
          <t>Cross-notebook baseline consistency: CONFIRMED (Section 5 of this notebook).</t>
        </is>
      </c>
      <c r="F8" s="17" t="inlineStr">
        <is>
          <t>Prevents a reader from adding these figures together into a fabricated, inflated capital number no regulator or internal model would recognize.</t>
        </is>
      </c>
      <c r="G8" s="17" t="inlineStr">
        <is>
          <t>Re-confirm this consistency check every time any of Notebooks 01/03/04 is re-run.</t>
        </is>
      </c>
    </row>
    <row r="9" ht="75" customHeight="1">
      <c r="A9" s="18" t="n">
        <v>8</v>
      </c>
      <c r="B9" s="18" t="inlineStr">
        <is>
          <t>Illustrative financial impact: real annual benefit run-rate and a labeled ROI timeline</t>
        </is>
      </c>
      <c r="C9" s="18" t="inlineStr">
        <is>
          <t>Problems 1-3 combine for $1,076,288.50 ($1.1M) in real illustrative annual benefit (operations-cost-avoided framing); Problems 4-5 report real cost/risk-context figures instead, kept separate and never summed into this total.</t>
        </is>
      </c>
      <c r="D9" s="18" t="inlineStr">
        <is>
          <t>ASSUMPTION-based 5-year cumulative illustrative benefit (flat run-rate, no growth): $5,381,442.50 ($5.4M).</t>
        </is>
      </c>
      <c r="E9" s="18" t="inlineStr">
        <is>
          <t>Every dollar figure here is either a real number already computed by that problem's own notebook, or that real number multiplied by one small, explicitly disclosed operations-cost assumption -- never a fabricated dollar figure.</t>
        </is>
      </c>
      <c r="F9" s="18" t="inlineStr">
        <is>
          <t>Gives finance/operations a labeled starting point for their own real business case, not a forecast or a guarantee.</t>
        </is>
      </c>
      <c r="G9" s="1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23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2026-09-02T10:09:30Z</dcterms:created>
  <dcterms:modified xmlns:dcterms="http://purl.org/dc/terms/" xmlns:xsi="http://www.w3.org/2001/XMLSchema-instance" xsi:type="dcterms:W3CDTF">2026-09-10T16:27:48Z</dcterms:modified>
</cp:coreProperties>
</file>