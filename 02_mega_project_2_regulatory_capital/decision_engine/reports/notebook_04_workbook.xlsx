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 Results" sheetId="2" state="visible" r:id="rId2"/>
    <sheet xmlns:r="http://schemas.openxmlformats.org/officeDocument/2006/relationships" name="Segment by Scenario" sheetId="3" state="visible" r:id="rId3"/>
    <sheet xmlns:r="http://schemas.openxmlformats.org/officeDocument/2006/relationships" name="Portfolio Summary" sheetId="4" state="visible" r:id="rId4"/>
    <sheet xmlns:r="http://schemas.openxmlformats.org/officeDocument/2006/relationships" name="SMART Insights" sheetId="5" state="visible" r:id="rId5"/>
    <sheet xmlns:r="http://schemas.openxmlformats.org/officeDocument/2006/relationships" name="Disclosur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ScenarioResults" displayName="TScenarioResults" ref="A1:J4" headerRowCount="1">
  <autoFilter ref="A1:J4"/>
  <tableColumns count="10">
    <tableColumn id="1" name="scenario"/>
    <tableColumn id="2" name="z_shock"/>
    <tableColumn id="3" name="lgd_multiplier"/>
    <tableColumn id="4" name="mean_stressed_pd"/>
    <tableColumn id="5" name="total_expected_loss"/>
    <tableColumn id="6" name="total_rwa"/>
    <tableColumn id="7" name="total_capital_requirement"/>
    <tableColumn id="8" name="capital_rate_of_ead"/>
    <tableColumn id="9" name="capital_increase_vs_baseline_usd"/>
    <tableColumn id="10" name="capital_increase_vs_baseline_pct"/>
  </tableColumns>
  <tableStyleInfo name="TableStyleMedium2" showRowStripes="1"/>
</table>
</file>

<file path=xl/tables/table2.xml><?xml version="1.0" encoding="utf-8"?>
<table xmlns="http://schemas.openxmlformats.org/spreadsheetml/2006/main" id="2" name="TSegmentbyScenario" displayName="TSegmentbyScenario" ref="A1:D13" headerRowCount="1">
  <autoFilter ref="A1:D13"/>
  <tableColumns count="4">
    <tableColumn id="1" name="scenario"/>
    <tableColumn id="2" name="segment"/>
    <tableColumn id="3" name="n_applicants"/>
    <tableColumn id="4" name="total_capital_require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Baseline</t>
        </is>
      </c>
      <c r="B2" s="2" t="inlineStr">
        <is>
          <t>Z=0.0000, LGD multiplier=1.00</t>
        </is>
      </c>
      <c r="C2" t="inlineStr">
        <is>
          <t>No shock -- reuses Notebook 01's real per-applicant PD/LGD directly, unmodified (z_shock=0.0 is a display label only; see module docstring for why Z=0 is deliberately NOT run through the conditional-PD formula -- it would not reproduce the real unconditional PD).</t>
        </is>
      </c>
    </row>
    <row r="3">
      <c r="A3" t="inlineStr">
        <is>
          <t>Adverse</t>
        </is>
      </c>
      <c r="B3" s="2" t="inlineStr">
        <is>
          <t>Z=-1.6449, LGD multiplier=1.00</t>
        </is>
      </c>
      <c r="C3" t="inlineStr">
        <is>
          <t>Systematic factor at the standard-normal 95th-percentile adverse value (Phi^-1(0.05) = -1.645, a documented '1-in-20' downturn severity convention). PD-only shock via the real single-factor Vasicek conditional-PD formula (same model as Notebook 01/03); LGD unchanged.</t>
        </is>
      </c>
    </row>
    <row r="4">
      <c r="A4" t="inlineStr">
        <is>
          <t>Severely Adverse</t>
        </is>
      </c>
      <c r="B4" s="2" t="inlineStr">
        <is>
          <t>Z=-3.0902, LGD multiplier=1.25</t>
        </is>
      </c>
      <c r="C4" t="inlineStr">
        <is>
          <t>Systematic factor at Phi^-1(0.001) = -3.09 -- the SAME 99.9th-percentile severity Basel's own closed-form retail-IRB capital function is calibrated to [BCBS05] -- plus a documented 25% relative LGD downturn add-on (capped at 100%), reflecting the Basel II 'downturn LGD' concept [BCBS06].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23" customWidth="1" min="5" max="5"/>
    <col width="14" customWidth="1" min="6" max="6"/>
    <col width="29" customWidth="1" min="7" max="7"/>
    <col width="23" customWidth="1" min="8" max="8"/>
    <col width="36" customWidth="1" min="9" max="9"/>
    <col width="36" customWidth="1" min="10" max="10"/>
  </cols>
  <sheetData>
    <row r="1">
      <c r="A1" s="3" t="inlineStr">
        <is>
          <t>scenario</t>
        </is>
      </c>
      <c r="B1" s="3" t="inlineStr">
        <is>
          <t>z_shock</t>
        </is>
      </c>
      <c r="C1" s="3" t="inlineStr">
        <is>
          <t>lgd_multiplier</t>
        </is>
      </c>
      <c r="D1" s="3" t="inlineStr">
        <is>
          <t>mean_stressed_pd</t>
        </is>
      </c>
      <c r="E1" s="3" t="inlineStr">
        <is>
          <t>total_expected_loss</t>
        </is>
      </c>
      <c r="F1" s="3" t="inlineStr">
        <is>
          <t>total_rwa</t>
        </is>
      </c>
      <c r="G1" s="3" t="inlineStr">
        <is>
          <t>total_capital_requirement</t>
        </is>
      </c>
      <c r="H1" s="3" t="inlineStr">
        <is>
          <t>capital_rate_of_ead</t>
        </is>
      </c>
      <c r="I1" s="3" t="inlineStr">
        <is>
          <t>capital_increase_vs_baseline_usd</t>
        </is>
      </c>
      <c r="J1" s="3" t="inlineStr">
        <is>
          <t>capital_increase_vs_baseline_pct</t>
        </is>
      </c>
    </row>
    <row r="2">
      <c r="A2" t="inlineStr">
        <is>
          <t>Baseline</t>
        </is>
      </c>
      <c r="B2" t="n">
        <v>0</v>
      </c>
      <c r="C2" t="n">
        <v>1</v>
      </c>
      <c r="D2" t="n">
        <v>0.08072046575258834</v>
      </c>
      <c r="E2" t="n">
        <v>3917645732.584665</v>
      </c>
      <c r="F2" t="n">
        <v>121961353911.9556</v>
      </c>
      <c r="G2" t="n">
        <v>9756908312.956444</v>
      </c>
      <c r="H2" t="n">
        <v>0.05296706343064082</v>
      </c>
      <c r="I2" t="n">
        <v>0</v>
      </c>
      <c r="J2" t="n">
        <v>0</v>
      </c>
    </row>
    <row r="3">
      <c r="A3" t="inlineStr">
        <is>
          <t>Adverse</t>
        </is>
      </c>
      <c r="B3" t="n">
        <v>-1.6449</v>
      </c>
      <c r="C3" t="n">
        <v>1</v>
      </c>
      <c r="D3" t="n">
        <v>0.1638056866434756</v>
      </c>
      <c r="E3" t="n">
        <v>7657220283.666798</v>
      </c>
      <c r="F3" t="n">
        <v>172638016540.0601</v>
      </c>
      <c r="G3" t="n">
        <v>13811041323.20481</v>
      </c>
      <c r="H3" t="n">
        <v>0.07497562530519769</v>
      </c>
      <c r="I3" t="n">
        <v>4054133010.248367</v>
      </c>
      <c r="J3" t="n">
        <v>0.4155141034650067</v>
      </c>
    </row>
    <row r="4">
      <c r="A4" t="inlineStr">
        <is>
          <t>Severely Adverse</t>
        </is>
      </c>
      <c r="B4" t="n">
        <v>-3.0902</v>
      </c>
      <c r="C4" t="n">
        <v>1.25</v>
      </c>
      <c r="D4" t="n">
        <v>0.2961375010003019</v>
      </c>
      <c r="E4" t="n">
        <v>17092994555.5548</v>
      </c>
      <c r="F4" t="n">
        <v>256700587135.2114</v>
      </c>
      <c r="G4" t="n">
        <v>20536046970.81691</v>
      </c>
      <c r="H4" t="n">
        <v>0.1114834809991449</v>
      </c>
      <c r="I4" t="n">
        <v>10779138657.86047</v>
      </c>
      <c r="J4" t="n">
        <v>1.104769903755945</v>
      </c>
    </row>
  </sheetData>
  <conditionalFormatting sqref="G2:G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9" customWidth="1" min="4" max="4"/>
  </cols>
  <sheetData>
    <row r="1">
      <c r="A1" s="4" t="inlineStr">
        <is>
          <t>scenario</t>
        </is>
      </c>
      <c r="B1" s="4" t="inlineStr">
        <is>
          <t>segment</t>
        </is>
      </c>
      <c r="C1" s="4" t="inlineStr">
        <is>
          <t>n_applicants</t>
        </is>
      </c>
      <c r="D1" s="4" t="inlineStr">
        <is>
          <t>total_capital_requirement</t>
        </is>
      </c>
    </row>
    <row r="2">
      <c r="A2" t="inlineStr">
        <is>
          <t>Baseline</t>
        </is>
      </c>
      <c r="B2" t="inlineStr">
        <is>
          <t>Revolving (QRRE)</t>
        </is>
      </c>
      <c r="C2" t="n">
        <v>29279</v>
      </c>
      <c r="D2" t="n">
        <v>498053281.3726122</v>
      </c>
    </row>
    <row r="3">
      <c r="A3" t="inlineStr">
        <is>
          <t>Baseline</t>
        </is>
      </c>
      <c r="B3" t="inlineStr">
        <is>
          <t>Secured — Other (Vehicle/Goods)</t>
        </is>
      </c>
      <c r="C3" t="n">
        <v>30138</v>
      </c>
      <c r="D3" t="n">
        <v>912034450.1788971</v>
      </c>
    </row>
    <row r="4">
      <c r="A4" t="inlineStr">
        <is>
          <t>Baseline</t>
        </is>
      </c>
      <c r="B4" t="inlineStr">
        <is>
          <t>Secured — Real Estate</t>
        </is>
      </c>
      <c r="C4" t="n">
        <v>190207</v>
      </c>
      <c r="D4" t="n">
        <v>6340640309.91688</v>
      </c>
    </row>
    <row r="5">
      <c r="A5" t="inlineStr">
        <is>
          <t>Baseline</t>
        </is>
      </c>
      <c r="B5" t="inlineStr">
        <is>
          <t>Unsecured — Other Retail</t>
        </is>
      </c>
      <c r="C5" t="n">
        <v>57887</v>
      </c>
      <c r="D5" t="n">
        <v>2006180271.488055</v>
      </c>
    </row>
    <row r="6">
      <c r="A6" t="inlineStr">
        <is>
          <t>Adverse</t>
        </is>
      </c>
      <c r="B6" t="inlineStr">
        <is>
          <t>Revolving (QRRE)</t>
        </is>
      </c>
      <c r="C6" t="n">
        <v>29279</v>
      </c>
      <c r="D6" t="n">
        <v>705380436.002472</v>
      </c>
    </row>
    <row r="7">
      <c r="A7" t="inlineStr">
        <is>
          <t>Adverse</t>
        </is>
      </c>
      <c r="B7" t="inlineStr">
        <is>
          <t>Secured — Other (Vehicle/Goods)</t>
        </is>
      </c>
      <c r="C7" t="n">
        <v>30138</v>
      </c>
      <c r="D7" t="n">
        <v>1364099915.420474</v>
      </c>
    </row>
    <row r="8">
      <c r="A8" t="inlineStr">
        <is>
          <t>Adverse</t>
        </is>
      </c>
      <c r="B8" t="inlineStr">
        <is>
          <t>Secured — Real Estate</t>
        </is>
      </c>
      <c r="C8" t="n">
        <v>190207</v>
      </c>
      <c r="D8" t="n">
        <v>8880659835.385609</v>
      </c>
    </row>
    <row r="9">
      <c r="A9" t="inlineStr">
        <is>
          <t>Adverse</t>
        </is>
      </c>
      <c r="B9" t="inlineStr">
        <is>
          <t>Unsecured — Other Retail</t>
        </is>
      </c>
      <c r="C9" t="n">
        <v>57887</v>
      </c>
      <c r="D9" t="n">
        <v>2860901136.396257</v>
      </c>
    </row>
    <row r="10">
      <c r="A10" t="inlineStr">
        <is>
          <t>Severely Adverse</t>
        </is>
      </c>
      <c r="B10" t="inlineStr">
        <is>
          <t>Revolving (QRRE)</t>
        </is>
      </c>
      <c r="C10" t="n">
        <v>29279</v>
      </c>
      <c r="D10" t="n">
        <v>1158137245.264006</v>
      </c>
    </row>
    <row r="11">
      <c r="A11" t="inlineStr">
        <is>
          <t>Severely Adverse</t>
        </is>
      </c>
      <c r="B11" t="inlineStr">
        <is>
          <t>Secured — Other (Vehicle/Goods)</t>
        </is>
      </c>
      <c r="C11" t="n">
        <v>30138</v>
      </c>
      <c r="D11" t="n">
        <v>2330611090.919276</v>
      </c>
    </row>
    <row r="12">
      <c r="A12" t="inlineStr">
        <is>
          <t>Severely Adverse</t>
        </is>
      </c>
      <c r="B12" t="inlineStr">
        <is>
          <t>Secured — Real Estate</t>
        </is>
      </c>
      <c r="C12" t="n">
        <v>190207</v>
      </c>
      <c r="D12" t="n">
        <v>12353743097.96848</v>
      </c>
    </row>
    <row r="13">
      <c r="A13" t="inlineStr">
        <is>
          <t>Severely Adverse</t>
        </is>
      </c>
      <c r="B13" t="inlineStr">
        <is>
          <t>Unsecured — Other Retail</t>
        </is>
      </c>
      <c r="C13" t="n">
        <v>57887</v>
      </c>
      <c r="D13" t="n">
        <v>4693555536.665145</v>
      </c>
    </row>
  </sheetData>
  <conditionalFormatting sqref="D2:D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Notebook 01 real closed-form capital</t>
        </is>
      </c>
      <c r="B2" t="n">
        <v>9756908312.956444</v>
      </c>
    </row>
    <row r="3">
      <c r="A3" t="inlineStr">
        <is>
          <t>Baseline scenario capital (this notebook)</t>
        </is>
      </c>
      <c r="B3" t="n">
        <v>9756908312.956444</v>
      </c>
    </row>
    <row r="4">
      <c r="A4" t="inlineStr">
        <is>
          <t>Baseline vs. Notebook 01 relative difference</t>
        </is>
      </c>
      <c r="B4" t="n">
        <v>0</v>
      </c>
    </row>
    <row r="5">
      <c r="A5" t="inlineStr">
        <is>
          <t>Severely Adverse capital</t>
        </is>
      </c>
      <c r="B5" t="n">
        <v>20536046970.81691</v>
      </c>
    </row>
    <row r="6">
      <c r="A6" t="inlineStr">
        <is>
          <t>Severely Adverse increase vs. Baseline</t>
        </is>
      </c>
      <c r="B6" t="n">
        <v>1.104769903755945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75" customHeight="1">
      <c r="A2" s="5" t="n">
        <v>1</v>
      </c>
      <c r="B2" s="5" t="inlineStr">
        <is>
          <t>Real capital requirement under Severely Adverse stress is 110.5% above Baseline</t>
        </is>
      </c>
      <c r="C2" s="5" t="inlineStr">
        <is>
          <t>Baseline: $9,756,908,313 ($9.76B); Adverse: $13,811,041,323 ($13.81B) (+41.6%); Severely Adverse: $20,536,046,971 ($20.54B) (+110.5%).</t>
        </is>
      </c>
      <c r="D2" s="5" t="inlineStr">
        <is>
          <t>3 documented, cited macro scenarios evaluated over 307,511 real applicants in 0.12s.</t>
        </is>
      </c>
      <c r="E2" s="5" t="inlineStr">
        <is>
          <t>No further tuning required this cycle.</t>
        </is>
      </c>
      <c r="F2" s="5" t="inlineStr">
        <is>
          <t>Gives risk management a real, cited view of capital sensitivity to macro severity, using the exact same model and citations already established in Notebook 01/03 -- no new, unvalidated stress-testing methodology introduced.</t>
        </is>
      </c>
      <c r="G2" s="5" t="inlineStr">
        <is>
          <t>Re-run after any Notebook 01 update or a documented revision to scenario severities.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/>
    <row r="2" ht="60" customHeight="1">
      <c r="A2" s="6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2026-09-02T09:53:47Z</dcterms:created>
  <dcterms:modified xmlns:dcterms="http://purl.org/dc/terms/" xmlns:xsi="http://www.w3.org/2001/XMLSchema-instance" xsi:type="dcterms:W3CDTF">2026-09-10T17:05:29Z</dcterms:modified>
</cp:coreProperties>
</file>