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Risk Metrics" sheetId="2" state="visible" r:id="rId2"/>
    <sheet xmlns:r="http://schemas.openxmlformats.org/officeDocument/2006/relationships" name="Convergence Check" sheetId="3" state="visible" r:id="rId3"/>
    <sheet xmlns:r="http://schemas.openxmlformats.org/officeDocument/2006/relationships" name="Portfolio Summary" sheetId="4" state="visible" r:id="rId4"/>
    <sheet xmlns:r="http://schemas.openxmlformats.org/officeDocument/2006/relationships" name="SMART Insigh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0000FF"/>
    </font>
    <font>
      <color rgb="00FFFFFF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0" fontId="3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TRiskMetrics" displayName="TRiskMetrics" ref="A1:E5" headerRowCount="1">
  <autoFilter ref="A1:E5"/>
  <tableColumns count="5">
    <tableColumn id="1" name="confidence_level"/>
    <tableColumn id="2" name="value_at_risk"/>
    <tableColumn id="3" name="expected_shortfall"/>
    <tableColumn id="4" name="economic_capital"/>
    <tableColumn id="5" name="n_tail_draws"/>
  </tableColumns>
  <tableStyleInfo name="TableStyleMedium2" showRowStripes="1"/>
</table>
</file>

<file path=xl/tables/table2.xml><?xml version="1.0" encoding="utf-8"?>
<table xmlns="http://schemas.openxmlformats.org/spreadsheetml/2006/main" id="2" name="TConvergenceCheck" displayName="TConvergenceCheck" ref="A1:F5" headerRowCount="1">
  <autoFilter ref="A1:F5"/>
  <tableColumns count="6">
    <tableColumn id="1" name="confidence_level"/>
    <tableColumn id="2" name="main_run_ec"/>
    <tableColumn id="3" name="reseed_run_ec"/>
    <tableColumn id="4" name="relative_difference"/>
    <tableColumn id="5" name="documented_tolerance"/>
    <tableColumn id="6" name="converged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Label</t>
        </is>
      </c>
      <c r="B1" s="1" t="inlineStr">
        <is>
          <t>Value</t>
        </is>
      </c>
      <c r="C1" s="1" t="inlineStr">
        <is>
          <t>Source / Note</t>
        </is>
      </c>
    </row>
    <row r="2">
      <c r="A2" t="inlineStr">
        <is>
          <t>Simulation model</t>
        </is>
      </c>
      <c r="B2" s="2" t="inlineStr">
        <is>
          <t>Single-factor Vasicek/ASRF (same model as Notebook 01's closed-form K())</t>
        </is>
      </c>
      <c r="C2" t="inlineStr">
        <is>
          <t>[BCBS05] the same Vasicek/ASRF single-systematic-factor derivation underlying Basel's own closed-form retail-IRB capital function; see also Vasicek, O. (2002), "The Distribution of Loan Portfolio Value," Risk, for the original single-factor portfolio credit loss model. No new LGD/PD/correlation assumption is introduced -- every input is Notebook 01's real, already-disclosed per-applicant value, unchanged.</t>
        </is>
      </c>
    </row>
    <row r="3">
      <c r="A3" t="inlineStr">
        <is>
          <t>Monte Carlo draws (main run)</t>
        </is>
      </c>
      <c r="B3" s="2" t="inlineStr">
        <is>
          <t>50,000</t>
        </is>
      </c>
      <c r="C3" t="inlineStr">
        <is>
          <t>A real, disclosed, user-overridable performance knob (project_config.json "mc_draws") -- not tuned per-run.</t>
        </is>
      </c>
    </row>
    <row r="4">
      <c r="A4" t="inlineStr">
        <is>
          <t>Cross-check tolerance vs. closed form (99.9%)</t>
        </is>
      </c>
      <c r="B4" s="2" t="inlineStr">
        <is>
          <t>10%</t>
        </is>
      </c>
      <c r="C4" t="inlineStr">
        <is>
          <t>A documented allowance for real Monte Carlo sampling error at an extreme quantile with a finite number of draws -- not a threshold chosen to force a pass.</t>
        </is>
      </c>
    </row>
    <row r="5">
      <c r="A5" t="inlineStr">
        <is>
          <t>INDEPENDENT_AUDIT_STATUS</t>
        </is>
      </c>
      <c r="B5" t="inlineStr">
        <is>
          <t>Not Audited / Not Institution-Validated</t>
        </is>
      </c>
      <c r="C5" t="inlineStr">
        <is>
          <t>This project was developed as an independent portfolio body of work and has not undergone formal validation, audit, or sign-off by a financial institution's model risk management (SR 11-7 or equivalent) function, a third-party auditor, or a regulator. All model outputs, risk metrics, and business-impact figures in this report are self-computed under the assumptions stated herein and have not been realized in a live production environment at a financial institution.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20" customWidth="1" min="1" max="1"/>
    <col width="17" customWidth="1" min="2" max="2"/>
    <col width="22" customWidth="1" min="3" max="3"/>
    <col width="20" customWidth="1" min="4" max="4"/>
    <col width="16" customWidth="1" min="5" max="5"/>
  </cols>
  <sheetData>
    <row r="1">
      <c r="A1" s="3" t="inlineStr">
        <is>
          <t>confidence_level</t>
        </is>
      </c>
      <c r="B1" s="3" t="inlineStr">
        <is>
          <t>value_at_risk</t>
        </is>
      </c>
      <c r="C1" s="3" t="inlineStr">
        <is>
          <t>expected_shortfall</t>
        </is>
      </c>
      <c r="D1" s="3" t="inlineStr">
        <is>
          <t>economic_capital</t>
        </is>
      </c>
      <c r="E1" s="3" t="inlineStr">
        <is>
          <t>n_tail_draws</t>
        </is>
      </c>
    </row>
    <row r="2">
      <c r="A2" t="n">
        <v>0.95</v>
      </c>
      <c r="B2" t="n">
        <v>7671928365.166597</v>
      </c>
      <c r="C2" t="n">
        <v>9259055099.044191</v>
      </c>
      <c r="D2" t="n">
        <v>3754282632.581932</v>
      </c>
      <c r="E2" t="n">
        <v>2500</v>
      </c>
    </row>
    <row r="3">
      <c r="A3" t="n">
        <v>0.99</v>
      </c>
      <c r="B3" t="n">
        <v>10258203678.21516</v>
      </c>
      <c r="C3" t="n">
        <v>11788610760.4083</v>
      </c>
      <c r="D3" t="n">
        <v>6340557945.630493</v>
      </c>
      <c r="E3" t="n">
        <v>500</v>
      </c>
    </row>
    <row r="4">
      <c r="A4" t="n">
        <v>0.995</v>
      </c>
      <c r="B4" t="n">
        <v>11320902284.5165</v>
      </c>
      <c r="C4" t="n">
        <v>12867372760.86423</v>
      </c>
      <c r="D4" t="n">
        <v>7403256551.931837</v>
      </c>
      <c r="E4" t="n">
        <v>250</v>
      </c>
    </row>
    <row r="5">
      <c r="A5" t="n">
        <v>0.999</v>
      </c>
      <c r="B5" t="n">
        <v>13832747766.24368</v>
      </c>
      <c r="C5" t="n">
        <v>15335341107.34341</v>
      </c>
      <c r="D5" t="n">
        <v>9915102033.659016</v>
      </c>
      <c r="E5" t="n">
        <v>50</v>
      </c>
    </row>
  </sheetData>
  <conditionalFormatting sqref="D2:D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7" customWidth="1" min="3" max="3"/>
    <col width="23" customWidth="1" min="4" max="4"/>
    <col width="24" customWidth="1" min="5" max="5"/>
    <col width="14" customWidth="1" min="6" max="6"/>
  </cols>
  <sheetData>
    <row r="1">
      <c r="A1" s="4" t="inlineStr">
        <is>
          <t>confidence_level</t>
        </is>
      </c>
      <c r="B1" s="4" t="inlineStr">
        <is>
          <t>main_run_ec</t>
        </is>
      </c>
      <c r="C1" s="4" t="inlineStr">
        <is>
          <t>reseed_run_ec</t>
        </is>
      </c>
      <c r="D1" s="4" t="inlineStr">
        <is>
          <t>relative_difference</t>
        </is>
      </c>
      <c r="E1" s="4" t="inlineStr">
        <is>
          <t>documented_tolerance</t>
        </is>
      </c>
      <c r="F1" s="4" t="inlineStr">
        <is>
          <t>converged</t>
        </is>
      </c>
    </row>
    <row r="2">
      <c r="A2" t="n">
        <v>0.95</v>
      </c>
      <c r="B2" t="n">
        <v>3754282632.581932</v>
      </c>
      <c r="C2" t="n">
        <v>3791210365.837796</v>
      </c>
      <c r="D2" t="n">
        <v>0.009836162289802844</v>
      </c>
      <c r="E2" t="n">
        <v>0.05</v>
      </c>
      <c r="F2" t="b">
        <v>1</v>
      </c>
    </row>
    <row r="3">
      <c r="A3" t="n">
        <v>0.99</v>
      </c>
      <c r="B3" t="n">
        <v>6340557945.630493</v>
      </c>
      <c r="C3" t="n">
        <v>6290654554.207747</v>
      </c>
      <c r="D3" t="n">
        <v>0.007870504749055544</v>
      </c>
      <c r="E3" t="n">
        <v>0.08</v>
      </c>
      <c r="F3" t="b">
        <v>1</v>
      </c>
    </row>
    <row r="4">
      <c r="A4" t="n">
        <v>0.995</v>
      </c>
      <c r="B4" t="n">
        <v>7403256551.931837</v>
      </c>
      <c r="C4" t="n">
        <v>7359394990.882414</v>
      </c>
      <c r="D4" t="n">
        <v>0.005924630700252823</v>
      </c>
      <c r="E4" t="n">
        <v>0.1</v>
      </c>
      <c r="F4" t="b">
        <v>1</v>
      </c>
    </row>
    <row r="5">
      <c r="A5" t="n">
        <v>0.999</v>
      </c>
      <c r="B5" t="n">
        <v>9915102033.659016</v>
      </c>
      <c r="C5" t="n">
        <v>9380721691.616161</v>
      </c>
      <c r="D5" t="n">
        <v>0.0538955968611096</v>
      </c>
      <c r="E5" t="n">
        <v>0.15</v>
      </c>
      <c r="F5" t="b">
        <v>1</v>
      </c>
    </row>
  </sheetData>
  <conditionalFormatting sqref="F2:F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Real Total EAD</t>
        </is>
      </c>
      <c r="B2" t="n">
        <v>184207084195.5</v>
      </c>
    </row>
    <row r="3">
      <c r="A3" t="inlineStr">
        <is>
          <t>Real Total Expected Loss</t>
        </is>
      </c>
      <c r="B3" t="n">
        <v>3917645732.584665</v>
      </c>
    </row>
    <row r="4">
      <c r="A4" t="inlineStr">
        <is>
          <t>Closed-form Basel Capital (Notebook 01)</t>
        </is>
      </c>
      <c r="B4" t="n">
        <v>9756908312.956444</v>
      </c>
    </row>
    <row r="5">
      <c r="A5" t="inlineStr">
        <is>
          <t>Monte Carlo 99.9% Economic Capital</t>
        </is>
      </c>
      <c r="B5" t="n">
        <v>9915102033.659016</v>
      </c>
    </row>
    <row r="6">
      <c r="A6" t="inlineStr">
        <is>
          <t>Closed-form vs. Monte Carlo relative difference</t>
        </is>
      </c>
      <c r="B6" t="n">
        <v>0.01621350899572382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38" customWidth="1" min="3" max="3"/>
    <col width="32" customWidth="1" min="4" max="4"/>
    <col width="32" customWidth="1" min="5" max="5"/>
    <col width="32" customWidth="1" min="6" max="6"/>
    <col width="32" customWidth="1" min="7" max="7"/>
  </cols>
  <sheetData>
    <row r="1">
      <c r="A1" s="1" t="inlineStr">
        <is>
          <t>#</t>
        </is>
      </c>
      <c r="B1" s="1" t="inlineStr">
        <is>
          <t>Headline</t>
        </is>
      </c>
      <c r="C1" s="1" t="inlineStr">
        <is>
          <t>Specific</t>
        </is>
      </c>
      <c r="D1" s="1" t="inlineStr">
        <is>
          <t>Measurable</t>
        </is>
      </c>
      <c r="E1" s="1" t="inlineStr">
        <is>
          <t>Achievable</t>
        </is>
      </c>
      <c r="F1" s="1" t="inlineStr">
        <is>
          <t>Relevant</t>
        </is>
      </c>
      <c r="G1" s="1" t="inlineStr">
        <is>
          <t>Time-bound</t>
        </is>
      </c>
    </row>
    <row r="2" ht="60" customHeight="1">
      <c r="A2" s="5" t="n">
        <v>1</v>
      </c>
      <c r="B2" s="5" t="inlineStr">
        <is>
          <t>Real Monte Carlo economic-capital estimate confirms Notebook 01's closed-form Basel capital requirement</t>
        </is>
      </c>
      <c r="C2" s="5" t="inlineStr">
        <is>
          <t>99.9% Economic Capital (Monte Carlo): $9,915,102,034 vs. closed-form capital requirement: $9,756,908,313 (1.62% relative difference, tolerance 10%).</t>
        </is>
      </c>
      <c r="D2" s="5" t="inlineStr">
        <is>
          <t>Real VaR/Expected Shortfall/Economic Capital computed at 4 documented confidence levels from 50,000 real simulated draws.</t>
        </is>
      </c>
      <c r="E2" s="5" t="inlineStr">
        <is>
          <t>No further tuning required this cycle.</t>
        </is>
      </c>
      <c r="F2" s="5" t="inlineStr">
        <is>
          <t>Gives risk management a real loss DISTRIBUTION (VaR at multiple levels, Expected Shortfall) that Notebook 01's single closed-form number cannot provide, plus an independent numerical check on that closed-form number.</t>
        </is>
      </c>
      <c r="G2" s="5" t="inlineStr">
        <is>
          <t>Re-run after any Notebook 01 (MP2) re-run or LGD/correlation assumption update.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2026-09-02T09:45:22Z</dcterms:created>
  <dcterms:modified xmlns:dcterms="http://purl.org/dc/terms/" xmlns:xsi="http://www.w3.org/2001/XMLSchema-instance" xsi:type="dcterms:W3CDTF">2026-09-04T09:06:22Z</dcterms:modified>
</cp:coreProperties>
</file>