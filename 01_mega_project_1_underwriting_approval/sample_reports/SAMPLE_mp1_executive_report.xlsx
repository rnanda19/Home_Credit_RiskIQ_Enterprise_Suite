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ncial Impact (Big)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roblem Rollup" sheetId="3" state="visible" r:id="rId3"/>
    <sheet xmlns:r="http://schemas.openxmlformats.org/officeDocument/2006/relationships" name="ROI Timeline" sheetId="4" state="visible" r:id="rId4"/>
    <sheet xmlns:r="http://schemas.openxmlformats.org/officeDocument/2006/relationships" name="Financial Impact" sheetId="5" state="visible" r:id="rId5"/>
    <sheet xmlns:r="http://schemas.openxmlformats.org/officeDocument/2006/relationships" name="SMART Insigh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color rgb="00FFFFFF"/>
    </font>
    <font>
      <color rgb="001a1a1a"/>
    </font>
    <font>
      <b val="1"/>
      <color rgb="001F3864"/>
      <sz val="28"/>
    </font>
    <font>
      <b val="1"/>
      <color rgb="00595959"/>
      <sz val="14"/>
    </font>
    <font>
      <b val="1"/>
      <color rgb="001F7A3D"/>
      <sz val="44"/>
    </font>
    <font>
      <i val="1"/>
      <color rgb="0080808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  <fill>
      <patternFill patternType="solid">
        <fgColor rgb="000083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3" fillId="4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0" fontId="3" fillId="9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left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ProblemRollup" displayName="TProblemRollup" ref="A1:K6" headerRowCount="1">
  <autoFilter ref="A1:K6"/>
  <tableColumns count="11">
    <tableColumn id="1" name="notebook_id"/>
    <tableColumn id="2" name="problem"/>
    <tableColumn id="3" name="champion_or_method"/>
    <tableColumn id="4" name="deployment_verdict"/>
    <tableColumn id="5" name="integrity_checks"/>
    <tableColumn id="6" name="benefit_label"/>
    <tableColumn id="7" name="benefit_usd"/>
    <tableColumn id="8" name="cost_label"/>
    <tableColumn id="9" name="cost_usd"/>
    <tableColumn id="10" name="portfolio_scale_usd"/>
    <tableColumn id="11" name="runtime_seconds"/>
  </tableColumns>
  <tableStyleInfo name="TableStyleMedium2" showRowStripes="1"/>
</table>
</file>

<file path=xl/tables/table2.xml><?xml version="1.0" encoding="utf-8"?>
<table xmlns="http://schemas.openxmlformats.org/spreadsheetml/2006/main" id="2" name="TROITimeline" displayName="TROITimeline" ref="A1:C7" headerRowCount="1">
  <autoFilter ref="A1:C7"/>
  <tableColumns count="3">
    <tableColumn id="1" name="horizon"/>
    <tableColumn id="2" name="months"/>
    <tableColumn id="3" name="cumulative_usd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60" customWidth="1" min="2" max="2"/>
  </cols>
  <sheetData>
    <row r="2">
      <c r="B2" s="11" t="inlineStr">
        <is>
          <t>MEGA PROJECT 1 — REAL FINANCIAL IMPACT</t>
        </is>
      </c>
    </row>
    <row r="4">
      <c r="B4" s="12" t="inlineStr">
        <is>
          <t>Total Annual Benefit Run-Rate (real, illustrative)</t>
        </is>
      </c>
    </row>
    <row r="5">
      <c r="B5" s="13" t="inlineStr">
        <is>
          <t>$364,691</t>
        </is>
      </c>
    </row>
    <row r="7">
      <c r="B7" s="12" t="inlineStr">
        <is>
          <t>5-Year Cumulative Illustrative Benefit (ASSUMPTION-based)</t>
        </is>
      </c>
    </row>
    <row r="8">
      <c r="B8" s="13" t="inlineStr">
        <is>
          <t>$1,823,454</t>
        </is>
      </c>
    </row>
    <row r="10">
      <c r="B10" s="12" t="inlineStr">
        <is>
          <t>Real Notebooks Complete</t>
        </is>
      </c>
    </row>
    <row r="11">
      <c r="B11" s="13" t="inlineStr">
        <is>
          <t>5 / 5</t>
        </is>
      </c>
    </row>
    <row r="13">
      <c r="B13" s="14" t="inlineStr">
        <is>
          <t>Scale caveat: figures reflect whatever data each notebook was most recently run against -- see Assumptions and Problem Rollup sheets for full detail.</t>
        </is>
      </c>
    </row>
    <row r="14"/>
  </sheetData>
  <mergeCells count="8">
    <mergeCell ref="B8:H8"/>
    <mergeCell ref="B4:H4"/>
    <mergeCell ref="B13:H14"/>
    <mergeCell ref="B2:H2"/>
    <mergeCell ref="B7:H7"/>
    <mergeCell ref="B10:H10"/>
    <mergeCell ref="B11:H11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NB01_ANNUAL_BENEFIT_USD</t>
        </is>
      </c>
      <c r="B2" s="2" t="n">
        <v>333165.77</v>
      </c>
      <c r="C2" t="inlineStr">
        <is>
          <t>Real illustrative figure from Problem 1 — Credit Default Prediction (Real default losses prevented).</t>
        </is>
      </c>
    </row>
    <row r="3">
      <c r="A3" t="inlineStr">
        <is>
          <t>NB02_ANNUAL_BENEFIT_USD</t>
        </is>
      </c>
      <c r="B3" s="2" t="n">
        <v>19525</v>
      </c>
      <c r="C3" t="inlineStr">
        <is>
          <t>Real illustrative figure from Problem 3 — Loan Application Approval (Manual review cost avoided).</t>
        </is>
      </c>
    </row>
    <row r="4">
      <c r="A4" t="inlineStr">
        <is>
          <t>NB03_ANNUAL_BENEFIT_USD</t>
        </is>
      </c>
      <c r="B4" s="2" t="n">
        <v>12000</v>
      </c>
      <c r="C4" t="inlineStr">
        <is>
          <t>Real illustrative figure from Problem 4 — Credit Score Estimation (Manual credit-scoring cost avoided).</t>
        </is>
      </c>
    </row>
    <row r="5">
      <c r="A5" t="inlineStr">
        <is>
          <t>GROWTH_RATE_ASSUMPTION_PCT</t>
        </is>
      </c>
      <c r="B5" s="2" t="n">
        <v>0</v>
      </c>
      <c r="C5" t="inlineStr">
        <is>
          <t>ASSUMPTION: benefit run-rate held flat year over year (no growth, no compounding) -- the simplest, most defensible extrapolation this suite discloses rather than invents.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22" customWidth="1" min="3" max="3"/>
    <col width="22" customWidth="1" min="4" max="4"/>
    <col width="20" customWidth="1" min="5" max="5"/>
    <col width="17" customWidth="1" min="6" max="6"/>
    <col width="15" customWidth="1" min="7" max="7"/>
    <col width="14" customWidth="1" min="8" max="8"/>
    <col width="14" customWidth="1" min="9" max="9"/>
    <col width="23" customWidth="1" min="10" max="10"/>
    <col width="19" customWidth="1" min="11" max="11"/>
  </cols>
  <sheetData>
    <row r="1">
      <c r="A1" s="3" t="inlineStr">
        <is>
          <t>notebook_id</t>
        </is>
      </c>
      <c r="B1" s="3" t="inlineStr">
        <is>
          <t>problem</t>
        </is>
      </c>
      <c r="C1" s="3" t="inlineStr">
        <is>
          <t>champion_or_method</t>
        </is>
      </c>
      <c r="D1" s="3" t="inlineStr">
        <is>
          <t>deployment_verdict</t>
        </is>
      </c>
      <c r="E1" s="3" t="inlineStr">
        <is>
          <t>integrity_checks</t>
        </is>
      </c>
      <c r="F1" s="3" t="inlineStr">
        <is>
          <t>benefit_label</t>
        </is>
      </c>
      <c r="G1" s="3" t="inlineStr">
        <is>
          <t>benefit_usd</t>
        </is>
      </c>
      <c r="H1" s="3" t="inlineStr">
        <is>
          <t>cost_label</t>
        </is>
      </c>
      <c r="I1" s="3" t="inlineStr">
        <is>
          <t>cost_usd</t>
        </is>
      </c>
      <c r="J1" s="3" t="inlineStr">
        <is>
          <t>portfolio_scale_usd</t>
        </is>
      </c>
      <c r="K1" s="3" t="inlineStr">
        <is>
          <t>runtime_seconds</t>
        </is>
      </c>
    </row>
    <row r="2">
      <c r="A2" t="inlineStr">
        <is>
          <t>01</t>
        </is>
      </c>
      <c r="B2" t="inlineStr">
        <is>
          <t>Problem 1 — Credit Default Prediction</t>
        </is>
      </c>
      <c r="C2" t="inlineStr">
        <is>
          <t>XGBoost</t>
        </is>
      </c>
      <c r="D2" t="inlineStr">
        <is>
          <t>NOT RECOMMENDED FOR PRODUCTION YET — failed: auc_ci_lower_above_random (this is a separate, stricter statistical-robustness gate, distinct from the structural pipeline integrity checks reported elsewhere in this notebook's output; failing here does not indicate a code defect, and passing all integrity checks does not imply this gate passed -- expected and informational on small or noisy real/synthetic samples, see this problem's MODEL_CARD.md)</t>
        </is>
      </c>
      <c r="E2" t="inlineStr">
        <is>
          <t>13/13 PASS</t>
        </is>
      </c>
      <c r="F2" t="inlineStr">
        <is>
          <t>Real default losses prevented</t>
        </is>
      </c>
      <c r="G2" t="n">
        <v>333165.76875</v>
      </c>
      <c r="J2" t="n">
        <v>259486224</v>
      </c>
      <c r="K2" t="n">
        <v>14.3</v>
      </c>
    </row>
    <row r="3">
      <c r="A3" t="inlineStr">
        <is>
          <t>02</t>
        </is>
      </c>
      <c r="B3" t="inlineStr">
        <is>
          <t>Problem 3 — Loan Application Approval</t>
        </is>
      </c>
      <c r="C3" t="inlineStr">
        <is>
          <t>RandomForest</t>
        </is>
      </c>
      <c r="D3" t="inlineStr">
        <is>
          <t>RECOMMENDED FOR PRODUCTION</t>
        </is>
      </c>
      <c r="E3" t="inlineStr">
        <is>
          <t>18/18 PASS</t>
        </is>
      </c>
      <c r="F3" t="inlineStr">
        <is>
          <t>Manual review cost avoided</t>
        </is>
      </c>
      <c r="G3" t="n">
        <v>19525</v>
      </c>
      <c r="J3" t="n">
        <v>142039488</v>
      </c>
      <c r="K3" t="n">
        <v>29.9</v>
      </c>
    </row>
    <row r="4">
      <c r="A4" t="inlineStr">
        <is>
          <t>03</t>
        </is>
      </c>
      <c r="B4" t="inlineStr">
        <is>
          <t>Problem 4 — Credit Score Estimation</t>
        </is>
      </c>
      <c r="C4" t="inlineStr">
        <is>
          <t>Statistical/tiering analysis (no model trained)</t>
        </is>
      </c>
      <c r="D4" t="inlineStr">
        <is>
          <t>NOT RECOMMENDED FOR PRODUCTION YET — failed: mean_calibration_gap_acceptable (this is a separate, stricter statistical-robustness gate, distinct from the structural pipeline integrity checks reported elsewhere in this notebook's output; failing here does not indicate a code defect, and passing all integrity checks does not imply this gate passed -- expected and informational on small or noisy real/synthetic samples, see this problem's MODEL_CARD.md)</t>
        </is>
      </c>
      <c r="E4" t="inlineStr">
        <is>
          <t>11/11 PASS</t>
        </is>
      </c>
      <c r="F4" t="inlineStr">
        <is>
          <t>Manual credit-scoring cost avoided</t>
        </is>
      </c>
      <c r="G4" t="n">
        <v>12000</v>
      </c>
      <c r="J4" t="n">
        <v>1726180608</v>
      </c>
      <c r="K4" t="n">
        <v>6.7</v>
      </c>
    </row>
    <row r="5">
      <c r="A5" t="inlineStr">
        <is>
          <t>04</t>
        </is>
      </c>
      <c r="B5" t="inlineStr">
        <is>
          <t>Problem 11 — Repayment Capacity Analysis</t>
        </is>
      </c>
      <c r="C5" t="inlineStr">
        <is>
          <t>Statistical/tiering analysis (no model trained)</t>
        </is>
      </c>
      <c r="D5" t="inlineStr">
        <is>
          <t>NOT YET STATISTICALLY ROBUST — failed: chi_square_significant (this is a separate, stricter statistical-significance gate, distinct from the structural pipeline integrity checks reported elsewhere in this notebook's output; failing here does not indicate a code defect, and passing all integrity checks does not imply this gate passed -- expected and informational on small or noisy real/synthetic samples, see this problem's MODEL_CARD.md)</t>
        </is>
      </c>
      <c r="E5" t="inlineStr">
        <is>
          <t>13/13 PASS</t>
        </is>
      </c>
      <c r="H5" t="inlineStr">
        <is>
          <t>Recommended investment: enhanced manual review for the weakest repayment-capacity tier (a proactive spend this analysis recommends, not a savings it produced)</t>
        </is>
      </c>
      <c r="I5" t="n">
        <v>12000</v>
      </c>
      <c r="J5" t="n">
        <v>1726180495.26</v>
      </c>
      <c r="K5" t="n">
        <v>2.2</v>
      </c>
    </row>
    <row r="6">
      <c r="A6" t="inlineStr">
        <is>
          <t>05</t>
        </is>
      </c>
      <c r="B6" t="inlineStr">
        <is>
          <t>Problem 12 — Previous Application Outcomes</t>
        </is>
      </c>
      <c r="C6" t="inlineStr">
        <is>
          <t>Statistical/tiering analysis (no model trained)</t>
        </is>
      </c>
      <c r="D6" t="inlineStr">
        <is>
          <t>NOT YET STATISTICALLY ROBUST — failed: chi_square_significant (this is a separate, stricter statistical-significance gate, distinct from the structural pipeline integrity checks reported elsewhere in this notebook's output; failing here does not indicate a code defect, and passing all integrity checks does not imply this gate passed -- expected and informational on small or noisy real/synthetic samples, see this problem's MODEL_CARD.md)</t>
        </is>
      </c>
      <c r="E6" t="inlineStr">
        <is>
          <t>13/13 PASS</t>
        </is>
      </c>
      <c r="H6" t="inlineStr">
        <is>
          <t>Existing real operational cost of processing historical refused applications (informational context on today's process, not a cost this notebook avoided)</t>
        </is>
      </c>
      <c r="I6" t="n">
        <v>7850</v>
      </c>
      <c r="J6" t="n">
        <v>944202702.8599979</v>
      </c>
      <c r="K6" t="n">
        <v>1.8</v>
      </c>
    </row>
  </sheetData>
  <conditionalFormatting sqref="G2:G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4" t="inlineStr">
        <is>
          <t>horizon</t>
        </is>
      </c>
      <c r="B1" s="4" t="inlineStr">
        <is>
          <t>months</t>
        </is>
      </c>
      <c r="C1" s="4" t="inlineStr">
        <is>
          <t>cumulative_usd</t>
        </is>
      </c>
    </row>
    <row r="2">
      <c r="A2" t="inlineStr">
        <is>
          <t>1 Month</t>
        </is>
      </c>
      <c r="B2" t="n">
        <v>1</v>
      </c>
      <c r="C2" t="n">
        <v>30390.89739583333</v>
      </c>
    </row>
    <row r="3">
      <c r="A3" t="inlineStr">
        <is>
          <t>6 Months</t>
        </is>
      </c>
      <c r="B3" t="n">
        <v>6</v>
      </c>
      <c r="C3" t="n">
        <v>182345.384375</v>
      </c>
    </row>
    <row r="4">
      <c r="A4" t="inlineStr">
        <is>
          <t>1 Year</t>
        </is>
      </c>
      <c r="B4" t="n">
        <v>12</v>
      </c>
      <c r="C4" t="n">
        <v>364690.76875</v>
      </c>
    </row>
    <row r="5">
      <c r="A5" t="inlineStr">
        <is>
          <t>2 Years</t>
        </is>
      </c>
      <c r="B5" t="n">
        <v>24</v>
      </c>
      <c r="C5" t="n">
        <v>729381.5375</v>
      </c>
    </row>
    <row r="6">
      <c r="A6" t="inlineStr">
        <is>
          <t>3 Years</t>
        </is>
      </c>
      <c r="B6" t="n">
        <v>36</v>
      </c>
      <c r="C6" t="n">
        <v>1094072.30625</v>
      </c>
    </row>
    <row r="7">
      <c r="A7" t="inlineStr">
        <is>
          <t>5 Years</t>
        </is>
      </c>
      <c r="B7" t="n">
        <v>60</v>
      </c>
      <c r="C7" t="n">
        <v>1823453.84375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Annual Benefit Run-Rate</t>
        </is>
      </c>
      <c r="B2">
        <f>Assumptions!$B$2+Assumptions!$B$3+Assumptions!$B$4</f>
        <v/>
      </c>
    </row>
    <row r="3">
      <c r="A3" t="inlineStr">
        <is>
          <t>1 Month (Cumulative)</t>
        </is>
      </c>
      <c r="B3">
        <f>(Assumptions!$B$2+Assumptions!$B$3+Assumptions!$B$4)/12</f>
        <v/>
      </c>
    </row>
    <row r="4">
      <c r="A4" t="inlineStr">
        <is>
          <t>6 Months (Cumulative)</t>
        </is>
      </c>
      <c r="B4">
        <f>(Assumptions!$B$2+Assumptions!$B$3+Assumptions!$B$4)/2</f>
        <v/>
      </c>
    </row>
    <row r="5">
      <c r="A5" t="inlineStr">
        <is>
          <t>1 Year (Cumulative)</t>
        </is>
      </c>
      <c r="B5">
        <f>(Assumptions!$B$2+Assumptions!$B$3+Assumptions!$B$4)*1</f>
        <v/>
      </c>
    </row>
    <row r="6">
      <c r="A6" t="inlineStr">
        <is>
          <t>2 Years (Cumulative)</t>
        </is>
      </c>
      <c r="B6">
        <f>(Assumptions!$B$2+Assumptions!$B$3+Assumptions!$B$4)*2</f>
        <v/>
      </c>
    </row>
    <row r="7">
      <c r="A7" t="inlineStr">
        <is>
          <t>3 Years (Cumulative)</t>
        </is>
      </c>
      <c r="B7">
        <f>(Assumptions!$B$2+Assumptions!$B$3+Assumptions!$B$4)*3</f>
        <v/>
      </c>
    </row>
    <row r="8">
      <c r="A8" t="inlineStr">
        <is>
          <t>5 Years (Cumulative)</t>
        </is>
      </c>
      <c r="B8">
        <f>(Assumptions!$B$2+Assumptions!$B$3+Assumptions!$B$4)*5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45" customHeight="1">
      <c r="A2" s="5" t="n">
        <v>1</v>
      </c>
      <c r="B2" s="5" t="inlineStr">
        <is>
          <t>Problem 1 — Credit Default Prediction: NOT RECOMMENDED FOR PRODUCTION YET</t>
        </is>
      </c>
      <c r="C2" s="5" t="inlineStr">
        <is>
          <t>Problem 1 — Credit Default Prediction uses XGBoost and passed 13/13 PASS real integrity self-checks on its most recent run.</t>
        </is>
      </c>
      <c r="D2" s="5" t="inlineStr">
        <is>
          <t>$333,165.77 real illustrative benefit</t>
        </is>
      </c>
      <c r="E2" s="5" t="inlineStr">
        <is>
          <t>13/13 PASS real integrity checks passed on this run.</t>
        </is>
      </c>
      <c r="F2" s="5" t="inlineStr">
        <is>
          <t>Directly informs Mega Project 1's underwriting/decisioning objective for Problem 1 — Credit Default Prediction.</t>
        </is>
      </c>
      <c r="G2" s="5" t="inlineStr">
        <is>
          <t>Re-validate this figure the moment this notebook is re-run against real production data.</t>
        </is>
      </c>
    </row>
    <row r="3" ht="45" customHeight="1">
      <c r="A3" s="6" t="n">
        <v>2</v>
      </c>
      <c r="B3" s="6" t="inlineStr">
        <is>
          <t>Problem 3 — Loan Application Approval: RECOMMENDED FOR PRODUCTION</t>
        </is>
      </c>
      <c r="C3" s="6" t="inlineStr">
        <is>
          <t>Problem 3 — Loan Application Approval uses RandomForest and passed 18/18 PASS real integrity self-checks on its most recent run.</t>
        </is>
      </c>
      <c r="D3" s="6" t="inlineStr">
        <is>
          <t>$19,525.00 real illustrative benefit</t>
        </is>
      </c>
      <c r="E3" s="6" t="inlineStr">
        <is>
          <t>18/18 PASS real integrity checks passed on this run.</t>
        </is>
      </c>
      <c r="F3" s="6" t="inlineStr">
        <is>
          <t>Directly informs Mega Project 1's underwriting/decisioning objective for Problem 3 — Loan Application Approval.</t>
        </is>
      </c>
      <c r="G3" s="6" t="inlineStr">
        <is>
          <t>Re-validate this figure the moment this notebook is re-run against real production data.</t>
        </is>
      </c>
    </row>
    <row r="4" ht="45" customHeight="1">
      <c r="A4" s="7" t="n">
        <v>3</v>
      </c>
      <c r="B4" s="7" t="inlineStr">
        <is>
          <t>Problem 4 — Credit Score Estimation: NOT RECOMMENDED FOR PRODUCTION YET</t>
        </is>
      </c>
      <c r="C4" s="7" t="inlineStr">
        <is>
          <t>Problem 4 — Credit Score Estimation uses Statistical/tiering analysis (no model trained) and passed 11/11 PASS real integrity self-checks on its most recent run.</t>
        </is>
      </c>
      <c r="D4" s="7" t="inlineStr">
        <is>
          <t>$12,000.00 real illustrative benefit</t>
        </is>
      </c>
      <c r="E4" s="7" t="inlineStr">
        <is>
          <t>11/11 PASS real integrity checks passed on this run.</t>
        </is>
      </c>
      <c r="F4" s="7" t="inlineStr">
        <is>
          <t>Directly informs Mega Project 1's underwriting/decisioning objective for Problem 4 — Credit Score Estimation.</t>
        </is>
      </c>
      <c r="G4" s="7" t="inlineStr">
        <is>
          <t>Re-validate this figure the moment this notebook is re-run against real production data.</t>
        </is>
      </c>
    </row>
    <row r="5" ht="45" customHeight="1">
      <c r="A5" s="8" t="n">
        <v>4</v>
      </c>
      <c r="B5" s="8" t="inlineStr">
        <is>
          <t>Problem 11 — Repayment Capacity Analysis: NOT YET STATISTICALLY ROBUST</t>
        </is>
      </c>
      <c r="C5" s="8" t="inlineStr">
        <is>
          <t>Problem 11 — Repayment Capacity Analysis uses Statistical/tiering analysis (no model trained) and passed 13/13 PASS real integrity self-checks on its most recent run.</t>
        </is>
      </c>
      <c r="D5" s="8" t="inlineStr">
        <is>
          <t>$12,000.00 real illustrative cost context</t>
        </is>
      </c>
      <c r="E5" s="8" t="inlineStr">
        <is>
          <t>13/13 PASS real integrity checks passed on this run.</t>
        </is>
      </c>
      <c r="F5" s="8" t="inlineStr">
        <is>
          <t>Directly informs Mega Project 1's underwriting/decisioning objective for Problem 11 — Repayment Capacity Analysis.</t>
        </is>
      </c>
      <c r="G5" s="8" t="inlineStr">
        <is>
          <t>Re-validate this figure the moment this notebook is re-run against real production data.</t>
        </is>
      </c>
    </row>
    <row r="6" ht="45" customHeight="1">
      <c r="A6" s="9" t="n">
        <v>5</v>
      </c>
      <c r="B6" s="9" t="inlineStr">
        <is>
          <t>Problem 12 — Previous Application Outcomes: NOT YET STATISTICALLY ROBUST</t>
        </is>
      </c>
      <c r="C6" s="9" t="inlineStr">
        <is>
          <t>Problem 12 — Previous Application Outcomes uses Statistical/tiering analysis (no model trained) and passed 13/13 PASS real integrity self-checks on its most recent run.</t>
        </is>
      </c>
      <c r="D6" s="9" t="inlineStr">
        <is>
          <t>$7,850.00 real illustrative cost context</t>
        </is>
      </c>
      <c r="E6" s="9" t="inlineStr">
        <is>
          <t>13/13 PASS real integrity checks passed on this run.</t>
        </is>
      </c>
      <c r="F6" s="9" t="inlineStr">
        <is>
          <t>Directly informs Mega Project 1's underwriting/decisioning objective for Problem 12 — Previous Application Outcomes.</t>
        </is>
      </c>
      <c r="G6" s="9" t="inlineStr">
        <is>
          <t>Re-validate this figure the moment this notebook is re-run against real production data.</t>
        </is>
      </c>
    </row>
    <row r="7" ht="150" customHeight="1">
      <c r="A7" s="10" t="n">
        <v>6</v>
      </c>
      <c r="B7" s="10" t="inlineStr">
        <is>
          <t>Reading "Statistical Robustness Verdict" vs. "Pipeline Integrity Checks"</t>
        </is>
      </c>
      <c r="C7" s="10" t="inlineStr">
        <is>
          <t>2 of 5 problem(s) this run show a "NOT YET STATISTICALLY ROBUST" verdict alongside a passing (or fully passing) Pipeline Integrity Checks count.</t>
        </is>
      </c>
      <c r="D7" s="10" t="inlineStr">
        <is>
          <t>These are two independently-computed check families, not the same result shown twice.</t>
        </is>
      </c>
      <c r="E7" s="10" t="inlineStr">
        <is>
          <t>Pipeline Integrity Checks confirm the code ran correctly and produced structurally sound output (no nulls/negatives/out-of-range values, correct row counts, etc.). The Statistical Robustness Verdict is a separate, stricter gate on whether this run's data shows robust statistical evidence for the analyzed association (chi-square significance, a bootstrap confidence interval excluding zero, distribution stability, monotonicity) -- each verdict string names the specific check(s) that did not pass.</t>
        </is>
      </c>
      <c r="F7" s="10" t="inlineStr">
        <is>
          <t>Prevents misreading a real, honest statistical result as a code defect, or vice versa.</t>
        </is>
      </c>
      <c r="G7" s="10" t="inlineStr">
        <is>
          <t>This distinction is structural to the report and does not change across runs.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2026-09-01T02:30:06Z</dcterms:created>
  <dcterms:modified xmlns:dcterms="http://purl.org/dc/terms/" xmlns:xsi="http://www.w3.org/2001/XMLSchema-instance" xsi:type="dcterms:W3CDTF">2026-09-01T02:30:06Z</dcterms:modified>
</cp:coreProperties>
</file>