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Impact (Big)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blem Rollup" sheetId="3" state="visible" r:id="rId3"/>
    <sheet xmlns:r="http://schemas.openxmlformats.org/officeDocument/2006/relationships" name="ROI Timeline" sheetId="4" state="visible" r:id="rId4"/>
    <sheet xmlns:r="http://schemas.openxmlformats.org/officeDocument/2006/relationships" name="Financial Impact" sheetId="5" state="visible" r:id="rId5"/>
    <sheet xmlns:r="http://schemas.openxmlformats.org/officeDocument/2006/relationships" name="SMART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  <font>
      <color rgb="001a1a1a"/>
    </font>
    <font>
      <b val="1"/>
      <color rgb="001F3864"/>
      <sz val="28"/>
    </font>
    <font>
      <b val="1"/>
      <color rgb="00595959"/>
      <sz val="14"/>
    </font>
    <font>
      <b val="1"/>
      <color rgb="001F7A3D"/>
      <sz val="44"/>
    </font>
    <font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ProblemRollup" displayName="TProblemRollup" ref="A1:K6" headerRowCount="1">
  <autoFilter ref="A1:K6"/>
  <tableColumns count="11">
    <tableColumn id="1" name="notebook_id"/>
    <tableColumn id="2" name="problem"/>
    <tableColumn id="3" name="champion_or_method"/>
    <tableColumn id="4" name="deployment_verdict"/>
    <tableColumn id="5" name="integrity_checks"/>
    <tableColumn id="6" name="benefit_label"/>
    <tableColumn id="7" name="benefit_usd"/>
    <tableColumn id="8" name="cost_label"/>
    <tableColumn id="9" name="cost_usd"/>
    <tableColumn id="10" name="portfolio_scale_usd"/>
    <tableColumn id="11" name="runtime_seconds"/>
  </tableColumns>
  <tableStyleInfo name="TableStyleMedium2" showRowStripes="1"/>
</table>
</file>

<file path=xl/tables/table2.xml><?xml version="1.0" encoding="utf-8"?>
<table xmlns="http://schemas.openxmlformats.org/spreadsheetml/2006/main" id="2" name="TROITimeline" displayName="TROITimeline" ref="A1:C7" headerRowCount="1">
  <autoFilter ref="A1:C7"/>
  <tableColumns count="3">
    <tableColumn id="1" name="horizon"/>
    <tableColumn id="2" name="months"/>
    <tableColumn id="3" name="cumulative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</cols>
  <sheetData>
    <row r="2">
      <c r="B2" s="10" t="inlineStr">
        <is>
          <t>MEGA PROJECT 1 — REAL FINANCIAL IMPACT</t>
        </is>
      </c>
    </row>
    <row r="4">
      <c r="B4" s="11" t="inlineStr">
        <is>
          <t>Total Annual Benefit Run-Rate (real, illustrative)</t>
        </is>
      </c>
    </row>
    <row r="5">
      <c r="B5" s="12" t="inlineStr">
        <is>
          <t>$37,421,672</t>
        </is>
      </c>
    </row>
    <row r="7">
      <c r="B7" s="11" t="inlineStr">
        <is>
          <t>5-Year Cumulative Illustrative Benefit (ASSUMPTION-based)</t>
        </is>
      </c>
    </row>
    <row r="8">
      <c r="B8" s="12" t="inlineStr">
        <is>
          <t>$187,108,360</t>
        </is>
      </c>
    </row>
    <row r="10">
      <c r="B10" s="11" t="inlineStr">
        <is>
          <t>Real Notebooks Complete</t>
        </is>
      </c>
    </row>
    <row r="11">
      <c r="B11" s="12" t="inlineStr">
        <is>
          <t>5 / 5</t>
        </is>
      </c>
    </row>
    <row r="13">
      <c r="B13" s="13" t="inlineStr">
        <is>
          <t>Scale caveat: figures reflect whatever data each notebook was most recently run against -- see Assumptions and Problem Rollup sheets for full detail.</t>
        </is>
      </c>
    </row>
    <row r="14"/>
  </sheetData>
  <mergeCells count="8">
    <mergeCell ref="B8:H8"/>
    <mergeCell ref="B4:H4"/>
    <mergeCell ref="B13:H14"/>
    <mergeCell ref="B2:H2"/>
    <mergeCell ref="B7:H7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NB01_ANNUAL_BENEFIT_USD</t>
        </is>
      </c>
      <c r="B2" s="2" t="n">
        <v>33300864</v>
      </c>
      <c r="C2" t="inlineStr">
        <is>
          <t>Real illustrative figure from Problem 1 — Credit Default Prediction (Real default losses prevented).</t>
        </is>
      </c>
    </row>
    <row r="3">
      <c r="A3" t="inlineStr">
        <is>
          <t>NB02_ANNUAL_BENEFIT_USD</t>
        </is>
      </c>
      <c r="B3" s="2" t="n">
        <v>3198275</v>
      </c>
      <c r="C3" t="inlineStr">
        <is>
          <t>Real illustrative figure from Problem 2 — Loan Application Approval (Manual review cost avoided).</t>
        </is>
      </c>
    </row>
    <row r="4">
      <c r="A4" t="inlineStr">
        <is>
          <t>NB03_ANNUAL_BENEFIT_USD</t>
        </is>
      </c>
      <c r="B4" s="2" t="n">
        <v>922533</v>
      </c>
      <c r="C4" t="inlineStr">
        <is>
          <t>Real illustrative figure from Problem 3 — Credit Score Estimation (Manual credit-scoring cost avoided).</t>
        </is>
      </c>
    </row>
    <row r="5">
      <c r="A5" t="inlineStr">
        <is>
          <t>GROWTH_RATE_ASSUMPTION_PCT</t>
        </is>
      </c>
      <c r="B5" s="2" t="n">
        <v>0</v>
      </c>
      <c r="C5" t="inlineStr">
        <is>
          <t>ASSUMPTION: benefit run-rate held flat year over year (no growth, no compounding) -- the simplest, most defensible extrapolation this suite discloses rather than invents.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22" customWidth="1" min="4" max="4"/>
    <col width="20" customWidth="1" min="5" max="5"/>
    <col width="17" customWidth="1" min="6" max="6"/>
    <col width="15" customWidth="1" min="7" max="7"/>
    <col width="14" customWidth="1" min="8" max="8"/>
    <col width="14" customWidth="1" min="9" max="9"/>
    <col width="23" customWidth="1" min="10" max="10"/>
    <col width="19" customWidth="1" min="11" max="11"/>
  </cols>
  <sheetData>
    <row r="1">
      <c r="A1" s="3" t="inlineStr">
        <is>
          <t>notebook_id</t>
        </is>
      </c>
      <c r="B1" s="3" t="inlineStr">
        <is>
          <t>problem</t>
        </is>
      </c>
      <c r="C1" s="3" t="inlineStr">
        <is>
          <t>champion_or_method</t>
        </is>
      </c>
      <c r="D1" s="3" t="inlineStr">
        <is>
          <t>deployment_verdict</t>
        </is>
      </c>
      <c r="E1" s="3" t="inlineStr">
        <is>
          <t>integrity_checks</t>
        </is>
      </c>
      <c r="F1" s="3" t="inlineStr">
        <is>
          <t>benefit_label</t>
        </is>
      </c>
      <c r="G1" s="3" t="inlineStr">
        <is>
          <t>benefit_usd</t>
        </is>
      </c>
      <c r="H1" s="3" t="inlineStr">
        <is>
          <t>cost_label</t>
        </is>
      </c>
      <c r="I1" s="3" t="inlineStr">
        <is>
          <t>cost_usd</t>
        </is>
      </c>
      <c r="J1" s="3" t="inlineStr">
        <is>
          <t>portfolio_scale_usd</t>
        </is>
      </c>
      <c r="K1" s="3" t="inlineStr">
        <is>
          <t>runtime_seconds</t>
        </is>
      </c>
    </row>
    <row r="2">
      <c r="A2" t="inlineStr">
        <is>
          <t>01</t>
        </is>
      </c>
      <c r="B2" t="inlineStr">
        <is>
          <t>Problem 1 — Credit Default Prediction</t>
        </is>
      </c>
      <c r="C2" t="inlineStr">
        <is>
          <t>LightGBM</t>
        </is>
      </c>
      <c r="D2" t="inlineStr">
        <is>
          <t>RECOMMENDED FOR PRODUCTION</t>
        </is>
      </c>
      <c r="E2" t="inlineStr">
        <is>
          <t>13/13 PASS</t>
        </is>
      </c>
      <c r="F2" t="inlineStr">
        <is>
          <t>Real default losses prevented</t>
        </is>
      </c>
      <c r="G2" t="n">
        <v>33300864</v>
      </c>
      <c r="J2" t="n">
        <v>27559997440</v>
      </c>
      <c r="K2" t="n">
        <v>121.5</v>
      </c>
    </row>
    <row r="3">
      <c r="A3" t="inlineStr">
        <is>
          <t>02</t>
        </is>
      </c>
      <c r="B3" t="inlineStr">
        <is>
          <t>Problem 2 — Loan Application Approval</t>
        </is>
      </c>
      <c r="C3" t="inlineStr">
        <is>
          <t>LightGBM</t>
        </is>
      </c>
      <c r="D3" t="inlineStr">
        <is>
          <t>RECOMMENDED FOR PRODUCTION</t>
        </is>
      </c>
      <c r="E3" t="inlineStr">
        <is>
          <t>18/18 PASS</t>
        </is>
      </c>
      <c r="F3" t="inlineStr">
        <is>
          <t>Manual review cost avoided</t>
        </is>
      </c>
      <c r="G3" t="n">
        <v>3198275</v>
      </c>
      <c r="J3" t="n">
        <v>41595224064</v>
      </c>
      <c r="K3" t="n">
        <v>302.3</v>
      </c>
    </row>
    <row r="4">
      <c r="A4" t="inlineStr">
        <is>
          <t>03</t>
        </is>
      </c>
      <c r="B4" t="inlineStr">
        <is>
          <t>Problem 3 — Credit Score Estimation</t>
        </is>
      </c>
      <c r="C4" t="inlineStr">
        <is>
          <t>Statistical/tiering analysis (no model trained)</t>
        </is>
      </c>
      <c r="D4" t="inlineStr">
        <is>
          <t>RECOMMENDED FOR PRODUCTION</t>
        </is>
      </c>
      <c r="E4" t="inlineStr">
        <is>
          <t>11/11 PASS</t>
        </is>
      </c>
      <c r="F4" t="inlineStr">
        <is>
          <t>Manual credit-scoring cost avoided</t>
        </is>
      </c>
      <c r="G4" t="n">
        <v>922533</v>
      </c>
      <c r="J4" t="n">
        <v>184207081472</v>
      </c>
      <c r="K4" t="n">
        <v>96.3</v>
      </c>
    </row>
    <row r="5">
      <c r="A5" t="inlineStr">
        <is>
          <t>04</t>
        </is>
      </c>
      <c r="B5" t="inlineStr">
        <is>
          <t>Problem 4 — Repayment Capacity Analysis</t>
        </is>
      </c>
      <c r="C5" t="inlineStr">
        <is>
          <t>Statistical/tiering analysis (no model trained)</t>
        </is>
      </c>
      <c r="D5" t="inlineStr">
        <is>
          <t>STATISTICALLY ROBUST — RECOMMENDED FOR PRODUCTION</t>
        </is>
      </c>
      <c r="E5" t="inlineStr">
        <is>
          <t>13/13 PASS</t>
        </is>
      </c>
      <c r="H5" t="inlineStr">
        <is>
          <t>Recommended investment: enhanced manual review for the weakest repayment-capacity tier (a proactive spend this analysis recommends, not a savings it produced)</t>
        </is>
      </c>
      <c r="I5" t="n">
        <v>922500</v>
      </c>
      <c r="J5" t="n">
        <v>184200293677.5</v>
      </c>
      <c r="K5" t="n">
        <v>11.2</v>
      </c>
    </row>
    <row r="6">
      <c r="A6" t="inlineStr">
        <is>
          <t>05</t>
        </is>
      </c>
      <c r="B6" t="inlineStr">
        <is>
          <t>Problem 5 — Previous Application Outcomes</t>
        </is>
      </c>
      <c r="C6" t="inlineStr">
        <is>
          <t>Statistical/tiering analysis (no model trained)</t>
        </is>
      </c>
      <c r="D6" t="inlineStr">
        <is>
          <t>STATISTICALLY ROBUST — RECOMMENDED FOR PRODUCTION</t>
        </is>
      </c>
      <c r="E6" t="inlineStr">
        <is>
          <t>13/13 PASS</t>
        </is>
      </c>
      <c r="H6" t="inlineStr">
        <is>
          <t>Existing real operational cost of processing historical refused applications (informational context on today's process, not a cost this notebook avoided)</t>
        </is>
      </c>
      <c r="I6" t="n">
        <v>2906780</v>
      </c>
      <c r="J6" t="n">
        <v>327552187720.5449</v>
      </c>
      <c r="K6" t="n">
        <v>18.7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s="4" t="inlineStr">
        <is>
          <t>horizon</t>
        </is>
      </c>
      <c r="B1" s="4" t="inlineStr">
        <is>
          <t>months</t>
        </is>
      </c>
      <c r="C1" s="4" t="inlineStr">
        <is>
          <t>cumulative_usd</t>
        </is>
      </c>
    </row>
    <row r="2">
      <c r="A2" t="inlineStr">
        <is>
          <t>1 Month</t>
        </is>
      </c>
      <c r="B2" t="n">
        <v>1</v>
      </c>
      <c r="C2" t="n">
        <v>3118472.666666667</v>
      </c>
    </row>
    <row r="3">
      <c r="A3" t="inlineStr">
        <is>
          <t>6 Months</t>
        </is>
      </c>
      <c r="B3" t="n">
        <v>6</v>
      </c>
      <c r="C3" t="n">
        <v>18710836</v>
      </c>
    </row>
    <row r="4">
      <c r="A4" t="inlineStr">
        <is>
          <t>1 Year</t>
        </is>
      </c>
      <c r="B4" t="n">
        <v>12</v>
      </c>
      <c r="C4" t="n">
        <v>37421672</v>
      </c>
    </row>
    <row r="5">
      <c r="A5" t="inlineStr">
        <is>
          <t>2 Years</t>
        </is>
      </c>
      <c r="B5" t="n">
        <v>24</v>
      </c>
      <c r="C5" t="n">
        <v>74843344</v>
      </c>
    </row>
    <row r="6">
      <c r="A6" t="inlineStr">
        <is>
          <t>3 Years</t>
        </is>
      </c>
      <c r="B6" t="n">
        <v>36</v>
      </c>
      <c r="C6" t="n">
        <v>112265016</v>
      </c>
    </row>
    <row r="7">
      <c r="A7" t="inlineStr">
        <is>
          <t>5 Years</t>
        </is>
      </c>
      <c r="B7" t="n">
        <v>60</v>
      </c>
      <c r="C7" t="n">
        <v>187108360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Annual Benefit Run-Rate</t>
        </is>
      </c>
      <c r="B2">
        <f>Assumptions!$B$2+Assumptions!$B$3+Assumptions!$B$4</f>
        <v/>
      </c>
    </row>
    <row r="3">
      <c r="A3" t="inlineStr">
        <is>
          <t>1 Month (Cumulative)</t>
        </is>
      </c>
      <c r="B3">
        <f>(Assumptions!$B$2+Assumptions!$B$3+Assumptions!$B$4)/12</f>
        <v/>
      </c>
    </row>
    <row r="4">
      <c r="A4" t="inlineStr">
        <is>
          <t>6 Months (Cumulative)</t>
        </is>
      </c>
      <c r="B4">
        <f>(Assumptions!$B$2+Assumptions!$B$3+Assumptions!$B$4)/2</f>
        <v/>
      </c>
    </row>
    <row r="5">
      <c r="A5" t="inlineStr">
        <is>
          <t>1 Year (Cumulative)</t>
        </is>
      </c>
      <c r="B5">
        <f>(Assumptions!$B$2+Assumptions!$B$3+Assumptions!$B$4)*1</f>
        <v/>
      </c>
    </row>
    <row r="6">
      <c r="A6" t="inlineStr">
        <is>
          <t>2 Years (Cumulative)</t>
        </is>
      </c>
      <c r="B6">
        <f>(Assumptions!$B$2+Assumptions!$B$3+Assumptions!$B$4)*2</f>
        <v/>
      </c>
    </row>
    <row r="7">
      <c r="A7" t="inlineStr">
        <is>
          <t>3 Years (Cumulative)</t>
        </is>
      </c>
      <c r="B7">
        <f>(Assumptions!$B$2+Assumptions!$B$3+Assumptions!$B$4)*3</f>
        <v/>
      </c>
    </row>
    <row r="8">
      <c r="A8" t="inlineStr">
        <is>
          <t>5 Years (Cumulative)</t>
        </is>
      </c>
      <c r="B8">
        <f>(Assumptions!$B$2+Assumptions!$B$3+Assumptions!$B$4)*5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Problem 1 — Credit Default Prediction: RECOMMENDED FOR PRODUCTION</t>
        </is>
      </c>
      <c r="C2" s="5" t="inlineStr">
        <is>
          <t>Problem 1 — Credit Default Prediction uses LightGBM and passed 13/13 PASS real integrity self-checks on its most recent run.</t>
        </is>
      </c>
      <c r="D2" s="5" t="inlineStr">
        <is>
          <t>$33,300,864.00 real illustrative benefit</t>
        </is>
      </c>
      <c r="E2" s="5" t="inlineStr">
        <is>
          <t>13/13 PASS real integrity checks passed on this run.</t>
        </is>
      </c>
      <c r="F2" s="5" t="inlineStr">
        <is>
          <t>Directly informs Mega Project 1's underwriting/decisioning objective for Problem 1 — Credit Default Prediction.</t>
        </is>
      </c>
      <c r="G2" s="5" t="inlineStr">
        <is>
          <t>Re-validate this figure the moment this notebook is re-run against real production data.</t>
        </is>
      </c>
    </row>
    <row r="3" ht="45" customHeight="1">
      <c r="A3" s="6" t="n">
        <v>2</v>
      </c>
      <c r="B3" s="6" t="inlineStr">
        <is>
          <t>Problem 2 — Loan Application Approval: RECOMMENDED FOR PRODUCTION</t>
        </is>
      </c>
      <c r="C3" s="6" t="inlineStr">
        <is>
          <t>Problem 2 — Loan Application Approval uses LightGBM and passed 18/18 PASS real integrity self-checks on its most recent run.</t>
        </is>
      </c>
      <c r="D3" s="6" t="inlineStr">
        <is>
          <t>$3,198,275.00 real illustrative benefit</t>
        </is>
      </c>
      <c r="E3" s="6" t="inlineStr">
        <is>
          <t>18/18 PASS real integrity checks passed on this run.</t>
        </is>
      </c>
      <c r="F3" s="6" t="inlineStr">
        <is>
          <t>Directly informs Mega Project 1's underwriting/decisioning objective for Problem 2 — Loan Application Approval.</t>
        </is>
      </c>
      <c r="G3" s="6" t="inlineStr">
        <is>
          <t>Re-validate this figure the moment this notebook is re-run against real production data.</t>
        </is>
      </c>
    </row>
    <row r="4" ht="45" customHeight="1">
      <c r="A4" s="7" t="n">
        <v>3</v>
      </c>
      <c r="B4" s="7" t="inlineStr">
        <is>
          <t>Problem 3 — Credit Score Estimation: RECOMMENDED FOR PRODUCTION</t>
        </is>
      </c>
      <c r="C4" s="7" t="inlineStr">
        <is>
          <t>Problem 3 — Credit Score Estimation uses Statistical/tiering analysis (no model trained) and passed 11/11 PASS real integrity self-checks on its most recent run.</t>
        </is>
      </c>
      <c r="D4" s="7" t="inlineStr">
        <is>
          <t>$922,533.00 real illustrative benefit</t>
        </is>
      </c>
      <c r="E4" s="7" t="inlineStr">
        <is>
          <t>11/11 PASS real integrity checks passed on this run.</t>
        </is>
      </c>
      <c r="F4" s="7" t="inlineStr">
        <is>
          <t>Directly informs Mega Project 1's underwriting/decisioning objective for Problem 3 — Credit Score Estimation.</t>
        </is>
      </c>
      <c r="G4" s="7" t="inlineStr">
        <is>
          <t>Re-validate this figure the moment this notebook is re-run against real production data.</t>
        </is>
      </c>
    </row>
    <row r="5" ht="45" customHeight="1">
      <c r="A5" s="8" t="n">
        <v>4</v>
      </c>
      <c r="B5" s="8" t="inlineStr">
        <is>
          <t>Problem 4 — Repayment Capacity Analysis: STATISTICALLY ROBUST</t>
        </is>
      </c>
      <c r="C5" s="8" t="inlineStr">
        <is>
          <t>Problem 4 — Repayment Capacity Analysis uses Statistical/tiering analysis (no model trained) and passed 13/13 PASS real integrity self-checks on its most recent run.</t>
        </is>
      </c>
      <c r="D5" s="8" t="inlineStr">
        <is>
          <t>$922,500.00 real illustrative cost context</t>
        </is>
      </c>
      <c r="E5" s="8" t="inlineStr">
        <is>
          <t>13/13 PASS real integrity checks passed on this run.</t>
        </is>
      </c>
      <c r="F5" s="8" t="inlineStr">
        <is>
          <t>Directly informs Mega Project 1's underwriting/decisioning objective for Problem 4 — Repayment Capacity Analysis.</t>
        </is>
      </c>
      <c r="G5" s="8" t="inlineStr">
        <is>
          <t>Re-validate this figure the moment this notebook is re-run against real production data.</t>
        </is>
      </c>
    </row>
    <row r="6" ht="45" customHeight="1">
      <c r="A6" s="9" t="n">
        <v>5</v>
      </c>
      <c r="B6" s="9" t="inlineStr">
        <is>
          <t>Problem 5 — Previous Application Outcomes: STATISTICALLY ROBUST</t>
        </is>
      </c>
      <c r="C6" s="9" t="inlineStr">
        <is>
          <t>Problem 5 — Previous Application Outcomes uses Statistical/tiering analysis (no model trained) and passed 13/13 PASS real integrity self-checks on its most recent run.</t>
        </is>
      </c>
      <c r="D6" s="9" t="inlineStr">
        <is>
          <t>$2,906,780.00 real illustrative cost context</t>
        </is>
      </c>
      <c r="E6" s="9" t="inlineStr">
        <is>
          <t>13/13 PASS real integrity checks passed on this run.</t>
        </is>
      </c>
      <c r="F6" s="9" t="inlineStr">
        <is>
          <t>Directly informs Mega Project 1's underwriting/decisioning objective for Problem 5 — Previous Application Outcomes.</t>
        </is>
      </c>
      <c r="G6" s="9" t="inlineStr">
        <is>
          <t>Re-validate this figure the moment this notebook is re-run against real 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2026-09-02T08:36:20Z</dcterms:created>
  <dcterms:modified xmlns:dcterms="http://purl.org/dc/terms/" xmlns:xsi="http://www.w3.org/2001/XMLSchema-instance" xsi:type="dcterms:W3CDTF">2026-09-02T08:36:20Z</dcterms:modified>
</cp:coreProperties>
</file>