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Rollup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01 Data-Driven Risk Tier" sheetId="3" state="visible" r:id="rId3"/>
    <sheet xmlns:r="http://schemas.openxmlformats.org/officeDocument/2006/relationships" name="P02 Credit Bureau Behavior" sheetId="4" state="visible" r:id="rId4"/>
    <sheet xmlns:r="http://schemas.openxmlformats.org/officeDocument/2006/relationships" name="P03 Repayment Behavior Seg" sheetId="5" state="visible" r:id="rId5"/>
    <sheet xmlns:r="http://schemas.openxmlformats.org/officeDocument/2006/relationships" name="P04 Revolving Credit Utili" sheetId="6" state="visible" r:id="rId6"/>
    <sheet xmlns:r="http://schemas.openxmlformats.org/officeDocument/2006/relationships" name="P05 Cross-Axis Risk-Return" sheetId="7" state="visible" r:id="rId7"/>
    <sheet xmlns:r="http://schemas.openxmlformats.org/officeDocument/2006/relationships" name="Problem Rollup" sheetId="8" state="visible" r:id="rId8"/>
    <sheet xmlns:r="http://schemas.openxmlformats.org/officeDocument/2006/relationships" name="Segmentation Power" sheetId="9" state="visible" r:id="rId9"/>
    <sheet xmlns:r="http://schemas.openxmlformats.org/officeDocument/2006/relationships" name="Illustrative Benefit" sheetId="10" state="visible" r:id="rId10"/>
    <sheet xmlns:r="http://schemas.openxmlformats.org/officeDocument/2006/relationships" name="ROI Timeline" sheetId="11" state="visible" r:id="rId11"/>
    <sheet xmlns:r="http://schemas.openxmlformats.org/officeDocument/2006/relationships" name="Financial Impact" sheetId="12" state="visible" r:id="rId12"/>
    <sheet xmlns:r="http://schemas.openxmlformats.org/officeDocument/2006/relationships" name="SMART Insights" sheetId="13" state="visible" r:id="rId13"/>
    <sheet xmlns:r="http://schemas.openxmlformats.org/officeDocument/2006/relationships" name="Disclosures &amp; Not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1a1a1a"/>
    </font>
    <font>
      <color rgb="00FFFFFF"/>
    </font>
    <font>
      <color rgb="001a1a1a"/>
    </font>
    <font>
      <b val="1"/>
      <color rgb="001F3864"/>
      <sz val="26"/>
    </font>
    <font>
      <b val="1"/>
      <color rgb="00595959"/>
      <sz val="13"/>
    </font>
    <font>
      <b val="1"/>
      <color rgb="001F7A3D"/>
      <sz val="36"/>
    </font>
    <font>
      <i val="1"/>
      <color rgb="00808080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  <fill>
      <patternFill patternType="solid">
        <fgColor rgb="00e87ba4"/>
      </patternFill>
    </fill>
    <fill>
      <patternFill patternType="solid">
        <fgColor rgb="00008300"/>
      </patternFill>
    </fill>
    <fill>
      <patternFill patternType="solid">
        <fgColor rgb="004a3aa7"/>
      </patternFill>
    </fill>
    <fill>
      <patternFill patternType="solid">
        <fgColor rgb="00e349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0" fontId="4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  <xf numFmtId="0" fontId="4" fillId="11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Segmentation Power — Problems 1-4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Rollup'!C17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Rollup'!$B$18:$B$21</f>
            </numRef>
          </cat>
          <val>
            <numRef>
              <f>'Executive Rollup'!$C$18:$C$21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Default-Rate Spread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Default Rate by Bureau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'P02 Credit Bureau Behavior'!B20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'P02 Credit Bureau Behavior'!$A$21:$A$25</f>
            </numRef>
          </cat>
          <val>
            <numRef>
              <f>'P02 Credit Bureau Behavior'!$B$21:$B$25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real_default_rate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Default Rate by Repayment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'P03 Repayment Behavior Seg'!B20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'P03 Repayment Behavior Seg'!$A$21:$A$23</f>
            </numRef>
          </cat>
          <val>
            <numRef>
              <f>'P03 Repayment Behavior Seg'!$B$21:$B$23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real_default_rate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Default Rate by Utilization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'P04 Revolving Credit Utili'!B20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'P04 Revolving Credit Utili'!$A$21:$A$29</f>
            </numRef>
          </cat>
          <val>
            <numRef>
              <f>'P04 Revolving Credit Utili'!$B$21:$B$29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real_default_rate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Default-Rate Spread by Axis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'P05 Cross-Axis Risk-Return'!B20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'P05 Cross-Axis Risk-Return'!$A$21:$A$24</f>
            </numRef>
          </cat>
          <val>
            <numRef>
              <f>'P05 Cross-Axis Risk-Return'!$B$21:$B$24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default_rate_spread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image" Target="/xl/media/image1.png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image" Target="/xl/media/image2.png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image" Target="/xl/media/image3.png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16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26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</row>
      <rowOff>0</rowOff>
    </from>
    <ext cx="43815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26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</row>
      <rowOff>0</rowOff>
    </from>
    <ext cx="43815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30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</row>
      <rowOff>0</rowOff>
    </from>
    <ext cx="43815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26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</row>
      <rowOff>0</rowOff>
    </from>
    <ext cx="43815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TP01DataDrivenRiskTie" displayName="TP01DataDrivenRiskTie" ref="A1:B7" headerRowCount="1">
  <autoFilter ref="A1:B7"/>
  <tableColumns count="2">
    <tableColumn id="1" name="Metric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TP02CreditBureauBehav" displayName="TP02CreditBureauBehav" ref="A1:B7" headerRowCount="1">
  <autoFilter ref="A1:B7"/>
  <tableColumns count="2">
    <tableColumn id="1" name="Metric"/>
    <tableColumn id="2" name="Value"/>
  </tableColumns>
  <tableStyleInfo name="TableStyleMedium2" showRowStripes="1"/>
</table>
</file>

<file path=xl/tables/table3.xml><?xml version="1.0" encoding="utf-8"?>
<table xmlns="http://schemas.openxmlformats.org/spreadsheetml/2006/main" id="3" name="TP03RepaymentBehavior" displayName="TP03RepaymentBehavior" ref="A1:B7" headerRowCount="1">
  <autoFilter ref="A1:B7"/>
  <tableColumns count="2">
    <tableColumn id="1" name="Metric"/>
    <tableColumn id="2" name="Value"/>
  </tableColumns>
  <tableStyleInfo name="TableStyleMedium2" showRowStripes="1"/>
</table>
</file>

<file path=xl/tables/table4.xml><?xml version="1.0" encoding="utf-8"?>
<table xmlns="http://schemas.openxmlformats.org/spreadsheetml/2006/main" id="4" name="TP04RevolvingCreditUt" displayName="TP04RevolvingCreditUt" ref="A1:B7" headerRowCount="1">
  <autoFilter ref="A1:B7"/>
  <tableColumns count="2">
    <tableColumn id="1" name="Metric"/>
    <tableColumn id="2" name="Value"/>
  </tableColumns>
  <tableStyleInfo name="TableStyleMedium2" showRowStripes="1"/>
</table>
</file>

<file path=xl/tables/table5.xml><?xml version="1.0" encoding="utf-8"?>
<table xmlns="http://schemas.openxmlformats.org/spreadsheetml/2006/main" id="5" name="TP05CrossAxisRiskRetu" displayName="TP05CrossAxisRiskRetu" ref="A1:B7" headerRowCount="1">
  <autoFilter ref="A1:B7"/>
  <tableColumns count="2">
    <tableColumn id="1" name="Metric"/>
    <tableColumn id="2" name="Value"/>
  </tableColumns>
  <tableStyleInfo name="TableStyleMedium2" showRowStripes="1"/>
</table>
</file>

<file path=xl/tables/table6.xml><?xml version="1.0" encoding="utf-8"?>
<table xmlns="http://schemas.openxmlformats.org/spreadsheetml/2006/main" id="6" name="TProblemRollup" displayName="TProblemRollup" ref="A1:H6" headerRowCount="1">
  <autoFilter ref="A1:H6"/>
  <tableColumns count="8">
    <tableColumn id="1" name="notebook_id"/>
    <tableColumn id="2" name="problem"/>
    <tableColumn id="3" name="method"/>
    <tableColumn id="4" name="verdict_kind"/>
    <tableColumn id="5" name="deployment_verdict"/>
    <tableColumn id="6" name="integrity_checks"/>
    <tableColumn id="7" name="headline_metric"/>
    <tableColumn id="8" name="runtime_seconds"/>
  </tableColumns>
  <tableStyleInfo name="TableStyleMedium2" showRowStripes="1"/>
</table>
</file>

<file path=xl/tables/table7.xml><?xml version="1.0" encoding="utf-8"?>
<table xmlns="http://schemas.openxmlformats.org/spreadsheetml/2006/main" id="7" name="TSegmentationPower" displayName="TSegmentationPower" ref="A1:F5" headerRowCount="1">
  <autoFilter ref="A1:F5"/>
  <tableColumns count="6">
    <tableColumn id="1" name="notebook_id"/>
    <tableColumn id="2" name="axis"/>
    <tableColumn id="3" name="n_segments"/>
    <tableColumn id="4" name="default_rate_min"/>
    <tableColumn id="5" name="default_rate_max"/>
    <tableColumn id="6" name="default_rate_spread"/>
  </tableColumns>
  <tableStyleInfo name="TableStyleMedium2" showRowStripes="1"/>
</table>
</file>

<file path=xl/tables/table8.xml><?xml version="1.0" encoding="utf-8"?>
<table xmlns="http://schemas.openxmlformats.org/spreadsheetml/2006/main" id="8" name="TIllustrativeBenefit" displayName="TIllustrativeBenefit" ref="A1:F6" headerRowCount="1">
  <autoFilter ref="A1:F6"/>
  <tableColumns count="6">
    <tableColumn id="1" name="notebook_id"/>
    <tableColumn id="2" name="problem"/>
    <tableColumn id="3" name="kind"/>
    <tableColumn id="4" name="label"/>
    <tableColumn id="5" name="usd"/>
    <tableColumn id="6" name="portfolio_scale_usd"/>
  </tableColumns>
  <tableStyleInfo name="TableStyleMedium2" showRowStripes="1"/>
</table>
</file>

<file path=xl/tables/table9.xml><?xml version="1.0" encoding="utf-8"?>
<table xmlns="http://schemas.openxmlformats.org/spreadsheetml/2006/main" id="9" name="TROITimeline" displayName="TROITimeline" ref="A1:C7" headerRowCount="1">
  <autoFilter ref="A1:C7"/>
  <tableColumns count="3">
    <tableColumn id="1" name="horizon"/>
    <tableColumn id="2" name="months"/>
    <tableColumn id="3" name="cumulative_us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3.xml" Id="rId2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4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5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5" customWidth="1" min="2" max="2"/>
  </cols>
  <sheetData>
    <row r="1"/>
    <row r="2">
      <c r="B2" s="19" t="inlineStr">
        <is>
          <t>MEGA PROJECT 3 — REAL RISK SEGMENTATION ROLLUP</t>
        </is>
      </c>
    </row>
    <row r="3"/>
    <row r="4">
      <c r="B4" s="20" t="inlineStr">
        <is>
          <t>Real Applicant Population</t>
        </is>
      </c>
    </row>
    <row r="5">
      <c r="B5" s="21" t="inlineStr">
        <is>
          <t>307,511</t>
        </is>
      </c>
    </row>
    <row r="6"/>
    <row r="7">
      <c r="B7" s="20" t="inlineStr">
        <is>
          <t>Widest Real Risk Differentiation</t>
        </is>
      </c>
    </row>
    <row r="8">
      <c r="B8" s="21" t="inlineStr">
        <is>
          <t>Risk Tier (48.92%)</t>
        </is>
      </c>
    </row>
    <row r="9"/>
    <row r="10">
      <c r="B10" s="20" t="inlineStr">
        <is>
          <t>Real Cross-Notebook Consistency</t>
        </is>
      </c>
    </row>
    <row r="11">
      <c r="B11" s="21" t="inlineStr">
        <is>
          <t>CONFIRMED</t>
        </is>
      </c>
    </row>
    <row r="12"/>
    <row r="13">
      <c r="B13" s="20" t="inlineStr">
        <is>
          <t>Real Problems Complete</t>
        </is>
      </c>
    </row>
    <row r="14">
      <c r="B14" s="21" t="inlineStr">
        <is>
          <t>5 / 5</t>
        </is>
      </c>
    </row>
    <row r="15"/>
    <row r="16"/>
    <row r="17">
      <c r="B17" t="inlineStr">
        <is>
          <t>Axis</t>
        </is>
      </c>
      <c r="C17" t="inlineStr">
        <is>
          <t>Default-Rate Spread</t>
        </is>
      </c>
    </row>
    <row r="18">
      <c r="B18" t="inlineStr">
        <is>
          <t>Risk Tier</t>
        </is>
      </c>
      <c r="C18" t="n">
        <v>0.4891780189227551</v>
      </c>
    </row>
    <row r="19">
      <c r="B19" t="inlineStr">
        <is>
          <t>Utilization Segment</t>
        </is>
      </c>
      <c r="C19" t="n">
        <v>0.1051374133026774</v>
      </c>
    </row>
    <row r="20">
      <c r="B20" t="inlineStr">
        <is>
          <t>Bureau Segment</t>
        </is>
      </c>
      <c r="C20" t="n">
        <v>0.0537329185135096</v>
      </c>
    </row>
    <row r="21">
      <c r="B21" t="inlineStr">
        <is>
          <t>Repayment Segment</t>
        </is>
      </c>
      <c r="C21" t="n">
        <v>0.02422358536550621</v>
      </c>
    </row>
    <row r="22"/>
    <row r="23"/>
    <row r="24">
      <c r="B24" s="22" t="inlineStr">
        <is>
          <t>Scale caveat: figures reflect whatever data each notebook was most recently run against. See the 'Segmentation Power' sheet and this notebook's own model card for the full cross-notebook consistency disclosure.</t>
        </is>
      </c>
    </row>
    <row r="25"/>
  </sheetData>
  <mergeCells count="10">
    <mergeCell ref="B13:I13"/>
    <mergeCell ref="B7:I7"/>
    <mergeCell ref="B11:I11"/>
    <mergeCell ref="B2:I2"/>
    <mergeCell ref="B10:I10"/>
    <mergeCell ref="B5:I5"/>
    <mergeCell ref="B14:I14"/>
    <mergeCell ref="B8:I8"/>
    <mergeCell ref="B24:I25"/>
    <mergeCell ref="B4:I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REAL_N_APPLICANTS</t>
        </is>
      </c>
      <c r="B2" s="2" t="n">
        <v>307511</v>
      </c>
      <c r="C2" t="inlineStr">
        <is>
          <t>Real applicant population from Notebook 01, reused unchanged by every other notebook in this Mega Project.</t>
        </is>
      </c>
    </row>
    <row r="3">
      <c r="A3" t="inlineStr">
        <is>
          <t>REAL_WIDEST_SEGMENTATION_SPREAD</t>
        </is>
      </c>
      <c r="B3" s="2" t="n">
        <v>0.489178</v>
      </c>
      <c r="C3" t="inlineStr">
        <is>
          <t>Real default-rate spread of the most risk-differentiating axis this run (Risk Tier) -- referenced by the Executive Rollup sheet.</t>
        </is>
      </c>
    </row>
    <row r="4">
      <c r="A4" t="inlineStr">
        <is>
          <t>AVG_MANUAL_TIER_CONSTRUCTION_COST_PER_APPLICANT</t>
        </is>
      </c>
      <c r="B4" s="2" t="n">
        <v>1.5</v>
      </c>
      <c r="C4" t="inlineStr">
        <is>
          <t>Illustrative operations-cost convention for manual/ad-hoc risk-tier construction per applicant.</t>
        </is>
      </c>
    </row>
    <row r="5">
      <c r="A5" t="inlineStr">
        <is>
          <t>AVG_MANUAL_BUREAU_REVIEW_COST_PER_APPLICANT</t>
        </is>
      </c>
      <c r="B5" s="2" t="n">
        <v>2</v>
      </c>
      <c r="C5" t="inlineStr">
        <is>
          <t>Illustrative operations-cost convention for manual credit-bureau file review per applicant.</t>
        </is>
      </c>
    </row>
    <row r="6">
      <c r="A6" t="inlineStr">
        <is>
          <t>AVG_EXPOSURE_PER_APPLICANT_USD</t>
        </is>
      </c>
      <c r="B6" s="2" t="n">
        <v>599026</v>
      </c>
      <c r="C6" t="inlineStr">
        <is>
          <t>Real average AMT_CREDIT across this run's real applicant population -- freshly computed from application_train.csv, not fabricated.</t>
        </is>
      </c>
    </row>
    <row r="7">
      <c r="A7" t="inlineStr">
        <is>
          <t>LGD_ASSUMPTION</t>
        </is>
      </c>
      <c r="B7" s="2" t="n">
        <v>0.45</v>
      </c>
      <c r="C7" t="inlineStr">
        <is>
          <t>Basel F-IRB unsecured-retail Loss-Given-Default convention, reused unchanged from this suite's own MP1/MP2 assumption layer.</t>
        </is>
      </c>
    </row>
    <row r="8">
      <c r="A8" t="inlineStr">
        <is>
          <t>AVG_LOSS_PER_DEFAULT_USD</t>
        </is>
      </c>
      <c r="B8" s="2" t="n">
        <v>269561.7</v>
      </c>
      <c r="C8" t="inlineStr">
        <is>
          <t>Real average exposure x the Basel LGD convention above -- this rollup's reusable 'what one default event costs' anchor for problems with no dollar figure of their own.</t>
        </is>
      </c>
    </row>
    <row r="9">
      <c r="A9" t="inlineStr">
        <is>
          <t>SIGNAL_REALIZATION_ASSUMPTION</t>
        </is>
      </c>
      <c r="B9" s="2" t="n">
        <v>0.1</v>
      </c>
      <c r="C9" t="inlineStr">
        <is>
          <t>Conservative, disclosed assumption: only 10% of an identified real default-rate gap is assumed to become an actually avoided loss if the firm acts on the signal.</t>
        </is>
      </c>
    </row>
    <row r="10">
      <c r="A10" t="inlineStr">
        <is>
          <t>TOTAL_ANNUAL_ILLUSTRATIVE_BENEFIT_USD</t>
        </is>
      </c>
      <c r="B10" s="2" t="n">
        <v>52803356.03</v>
      </c>
      <c r="C10" t="inlineStr">
        <is>
          <t>Real sum of Problems 1-4's illustrative benefit figures only -- Problem 5's real cost/risk-context figure is excluded by design.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Problem</t>
        </is>
      </c>
      <c r="B2" t="inlineStr">
        <is>
          <t>Problem 1 — Data-Driven Risk Tier Construction</t>
        </is>
      </c>
    </row>
    <row r="3">
      <c r="A3" t="inlineStr">
        <is>
          <t>Method</t>
        </is>
      </c>
      <c r="B3" t="inlineStr">
        <is>
          <t>CART-based decision-tree binning of real PD into data-driven risk tiers, validated by chi-square + Cramer's V + real default-rate monotonicity</t>
        </is>
      </c>
    </row>
    <row r="4">
      <c r="A4" t="inlineStr">
        <is>
          <t>Statistical Robustness Verdict</t>
        </is>
      </c>
      <c r="B4" t="inlineStr">
        <is>
          <t>STATISTICALLY ROBUST — RECOMMENDED FOR PRODUCTION</t>
        </is>
      </c>
    </row>
    <row r="5">
      <c r="A5" t="inlineStr">
        <is>
          <t>Integrity Checks</t>
        </is>
      </c>
      <c r="B5" t="inlineStr">
        <is>
          <t>10/10 PASS</t>
        </is>
      </c>
    </row>
    <row r="6">
      <c r="A6" t="inlineStr">
        <is>
          <t>Real Headline Result</t>
        </is>
      </c>
      <c r="B6" t="inlineStr">
        <is>
          <t>6 real data-driven risk tiers, real default rate 1.67%-50.59%</t>
        </is>
      </c>
    </row>
    <row r="7">
      <c r="A7" t="inlineStr">
        <is>
          <t>Runtime (s)</t>
        </is>
      </c>
      <c r="B7" t="n">
        <v>9.4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Problem</t>
        </is>
      </c>
      <c r="B2" t="inlineStr">
        <is>
          <t>Problem 2 — Credit Bureau Behavioral Segmentation</t>
        </is>
      </c>
    </row>
    <row r="3">
      <c r="A3" t="inlineStr">
        <is>
          <t>Method</t>
        </is>
      </c>
      <c r="B3" t="inlineStr">
        <is>
          <t>K-means clustering of real credit-bureau behavioral features (overdue balances, credit mix, DPD history)</t>
        </is>
      </c>
    </row>
    <row r="4">
      <c r="A4" t="inlineStr">
        <is>
          <t>Statistical Robustness Verdict</t>
        </is>
      </c>
      <c r="B4" t="inlineStr">
        <is>
          <t>STATISTICALLY ROBUST — RECOMMENDED FOR PRODUCTION</t>
        </is>
      </c>
    </row>
    <row r="5">
      <c r="A5" t="inlineStr">
        <is>
          <t>Integrity Checks</t>
        </is>
      </c>
      <c r="B5" t="inlineStr">
        <is>
          <t>9/9 PASS</t>
        </is>
      </c>
    </row>
    <row r="6">
      <c r="A6" t="inlineStr">
        <is>
          <t>Real Headline Result</t>
        </is>
      </c>
      <c r="B6" t="inlineStr">
        <is>
          <t>4 real bureau segment segments, real default rate 7.00%-12.37%</t>
        </is>
      </c>
    </row>
    <row r="7">
      <c r="A7" t="inlineStr">
        <is>
          <t>Runtime (s)</t>
        </is>
      </c>
      <c r="B7" t="n">
        <v>11</v>
      </c>
    </row>
    <row r="8"/>
    <row r="9"/>
    <row r="10"/>
    <row r="11"/>
    <row r="12"/>
    <row r="13"/>
    <row r="14"/>
    <row r="15"/>
    <row r="16"/>
    <row r="17"/>
    <row r="18"/>
    <row r="19"/>
    <row r="20">
      <c r="A20" t="inlineStr">
        <is>
          <t>Category</t>
        </is>
      </c>
      <c r="B20" t="inlineStr">
        <is>
          <t>Value</t>
        </is>
      </c>
    </row>
    <row r="21">
      <c r="A21" t="inlineStr">
        <is>
          <t>Behavior Segment A</t>
        </is>
      </c>
      <c r="B21" t="n">
        <v>0.09965595433575729</v>
      </c>
    </row>
    <row r="22">
      <c r="A22" t="inlineStr">
        <is>
          <t>Behavior Segment B</t>
        </is>
      </c>
      <c r="B22" t="n">
        <v>0.07083689486362577</v>
      </c>
    </row>
    <row r="23">
      <c r="A23" t="inlineStr">
        <is>
          <t>Behavior Segment C</t>
        </is>
      </c>
      <c r="B23" t="n">
        <v>0.07000627457006389</v>
      </c>
    </row>
    <row r="24">
      <c r="A24" t="inlineStr">
        <is>
          <t>Behavior Segment D</t>
        </is>
      </c>
      <c r="B24" t="n">
        <v>0.1237391930835735</v>
      </c>
    </row>
    <row r="25">
      <c r="A25" t="inlineStr">
        <is>
          <t>No Bureau History</t>
        </is>
      </c>
      <c r="B25" t="n">
        <v>0.1012494320763289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Problem</t>
        </is>
      </c>
      <c r="B2" t="inlineStr">
        <is>
          <t>Problem 3 — Repayment Behavior Segmentation</t>
        </is>
      </c>
    </row>
    <row r="3">
      <c r="A3" t="inlineStr">
        <is>
          <t>Method</t>
        </is>
      </c>
      <c r="B3" t="inlineStr">
        <is>
          <t>K-means clustering of real instalment-loan repayment-conduct features, real structurally-unbounded features winsorized before clustering</t>
        </is>
      </c>
    </row>
    <row r="4">
      <c r="A4" t="inlineStr">
        <is>
          <t>Statistical Robustness Verdict</t>
        </is>
      </c>
      <c r="B4" t="inlineStr">
        <is>
          <t>NOT YET STATISTICALLY ROBUST — failed: cramers_v_ci_excludes_zero (a separate, stricter statistical-significance gate, distinct from the structural pipeline integrity checks reported elsewhere in this notebook's output)</t>
        </is>
      </c>
    </row>
    <row r="5">
      <c r="A5" t="inlineStr">
        <is>
          <t>Integrity Checks</t>
        </is>
      </c>
      <c r="B5" t="inlineStr">
        <is>
          <t>9/9 PASS</t>
        </is>
      </c>
    </row>
    <row r="6">
      <c r="A6" t="inlineStr">
        <is>
          <t>Real Headline Result</t>
        </is>
      </c>
      <c r="B6" t="inlineStr">
        <is>
          <t>2 real repayment segment segments, real default rate 5.98%-8.40%</t>
        </is>
      </c>
    </row>
    <row r="7">
      <c r="A7" t="inlineStr">
        <is>
          <t>Runtime (s)</t>
        </is>
      </c>
      <c r="B7" t="n">
        <v>11.2</v>
      </c>
    </row>
    <row r="8"/>
    <row r="9"/>
    <row r="10"/>
    <row r="11"/>
    <row r="12"/>
    <row r="13"/>
    <row r="14"/>
    <row r="15"/>
    <row r="16"/>
    <row r="17"/>
    <row r="18"/>
    <row r="19"/>
    <row r="20">
      <c r="A20" t="inlineStr">
        <is>
          <t>Category</t>
        </is>
      </c>
      <c r="B20" t="inlineStr">
        <is>
          <t>Value</t>
        </is>
      </c>
    </row>
    <row r="21">
      <c r="A21" t="inlineStr">
        <is>
          <t>Repayment Segment A</t>
        </is>
      </c>
      <c r="B21" t="n">
        <v>0.08183661192114698</v>
      </c>
    </row>
    <row r="22">
      <c r="A22" t="inlineStr">
        <is>
          <t>Repayment Segment B</t>
        </is>
      </c>
      <c r="B22" t="n">
        <v>0.08402948402948403</v>
      </c>
    </row>
    <row r="23">
      <c r="A23" t="inlineStr">
        <is>
          <t>No Repayment History</t>
        </is>
      </c>
      <c r="B23" t="n">
        <v>0.05980589866397782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Problem</t>
        </is>
      </c>
      <c r="B2" t="inlineStr">
        <is>
          <t>Problem 4 — Revolving Credit Utilization Segmentation</t>
        </is>
      </c>
    </row>
    <row r="3">
      <c r="A3" t="inlineStr">
        <is>
          <t>Method</t>
        </is>
      </c>
      <c r="B3" t="inlineStr">
        <is>
          <t>K-means clustering of real revolving/credit-card utilization features, real structurally-unbounded features winsorized before clustering</t>
        </is>
      </c>
    </row>
    <row r="4">
      <c r="A4" t="inlineStr">
        <is>
          <t>Statistical Robustness Verdict</t>
        </is>
      </c>
      <c r="B4" t="inlineStr">
        <is>
          <t>STATISTICALLY ROBUST — RECOMMENDED FOR PRODUCTION</t>
        </is>
      </c>
    </row>
    <row r="5">
      <c r="A5" t="inlineStr">
        <is>
          <t>Integrity Checks</t>
        </is>
      </c>
      <c r="B5" t="inlineStr">
        <is>
          <t>9/9 PASS</t>
        </is>
      </c>
    </row>
    <row r="6">
      <c r="A6" t="inlineStr">
        <is>
          <t>Real Headline Result</t>
        </is>
      </c>
      <c r="B6" t="inlineStr">
        <is>
          <t>8 real utilization segment segments, real default rate 5.42%-15.94%</t>
        </is>
      </c>
    </row>
    <row r="7">
      <c r="A7" t="inlineStr">
        <is>
          <t>Runtime (s)</t>
        </is>
      </c>
      <c r="B7" t="n">
        <v>11.7</v>
      </c>
    </row>
    <row r="8"/>
    <row r="9"/>
    <row r="10"/>
    <row r="11"/>
    <row r="12"/>
    <row r="13"/>
    <row r="14"/>
    <row r="15"/>
    <row r="16"/>
    <row r="17"/>
    <row r="18"/>
    <row r="19"/>
    <row r="20">
      <c r="A20" t="inlineStr">
        <is>
          <t>Category</t>
        </is>
      </c>
      <c r="B20" t="inlineStr">
        <is>
          <t>Value</t>
        </is>
      </c>
    </row>
    <row r="21">
      <c r="A21" t="inlineStr">
        <is>
          <t>Utilization Segment A</t>
        </is>
      </c>
      <c r="B21" t="n">
        <v>0.05421686746987952</v>
      </c>
    </row>
    <row r="22">
      <c r="A22" t="inlineStr">
        <is>
          <t>Utilization Segment B</t>
        </is>
      </c>
      <c r="B22" t="n">
        <v>0.1384471468662301</v>
      </c>
    </row>
    <row r="23">
      <c r="A23" t="inlineStr">
        <is>
          <t>Utilization Segment C</t>
        </is>
      </c>
      <c r="B23" t="n">
        <v>0.06116106116106116</v>
      </c>
    </row>
    <row r="24">
      <c r="A24" t="inlineStr">
        <is>
          <t>Utilization Segment D</t>
        </is>
      </c>
      <c r="B24" t="n">
        <v>0.1593542807725569</v>
      </c>
    </row>
    <row r="25">
      <c r="A25" t="inlineStr">
        <is>
          <t>Utilization Segment E</t>
        </is>
      </c>
      <c r="B25" t="n">
        <v>0.06901264092927913</v>
      </c>
    </row>
    <row r="26">
      <c r="A26" t="inlineStr">
        <is>
          <t>Utilization Segment F</t>
        </is>
      </c>
      <c r="B26" t="n">
        <v>0.08890845070422536</v>
      </c>
    </row>
    <row r="27">
      <c r="A27" t="inlineStr">
        <is>
          <t>Utilization Segment G</t>
        </is>
      </c>
      <c r="B27" t="n">
        <v>0.06831119544592031</v>
      </c>
    </row>
    <row r="28">
      <c r="A28" t="inlineStr">
        <is>
          <t>Utilization Segment H</t>
        </is>
      </c>
      <c r="B28" t="n">
        <v>0.08646769052448566</v>
      </c>
    </row>
    <row r="29">
      <c r="A29" t="inlineStr">
        <is>
          <t>No Revolving Credit History</t>
        </is>
      </c>
      <c r="B29" t="n">
        <v>0.07837955449987762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Problem</t>
        </is>
      </c>
      <c r="B2" t="inlineStr">
        <is>
          <t>Problem 5 — Cross-Axis Risk-Return Synthesis</t>
        </is>
      </c>
    </row>
    <row r="3">
      <c r="A3" t="inlineStr">
        <is>
          <t>Method</t>
        </is>
      </c>
      <c r="B3" t="inlineStr">
        <is>
          <t>Real join + aggregation of Problems 1-4's real segment assignments against Mega Project 2's real regulatory capital -- trains no model, reads no raw Home Credit CSV</t>
        </is>
      </c>
    </row>
    <row r="4">
      <c r="A4" t="inlineStr">
        <is>
          <t>Synthesis Verdict</t>
        </is>
      </c>
      <c r="B4" t="inlineStr">
        <is>
          <t>SYNTHESIS VALIDATED — CAPITAL TRACKS RISK AS EXPECTED</t>
        </is>
      </c>
    </row>
    <row r="5">
      <c r="A5" t="inlineStr">
        <is>
          <t>Integrity Checks</t>
        </is>
      </c>
      <c r="B5" t="inlineStr">
        <is>
          <t>6/6 PASS</t>
        </is>
      </c>
    </row>
    <row r="6">
      <c r="A6" t="inlineStr">
        <is>
          <t>Real Headline Result</t>
        </is>
      </c>
      <c r="B6" t="inlineStr">
        <is>
          <t>Widest real risk differentiation: Risk Tier (48.92% spread across 6 real segments). Real capital-rate monotonicity by Risk Tier: HOLDS.</t>
        </is>
      </c>
    </row>
    <row r="7">
      <c r="A7" t="inlineStr">
        <is>
          <t>Runtime (s)</t>
        </is>
      </c>
      <c r="B7" t="n">
        <v>2.7</v>
      </c>
    </row>
    <row r="8"/>
    <row r="9"/>
    <row r="10"/>
    <row r="11"/>
    <row r="12"/>
    <row r="13"/>
    <row r="14"/>
    <row r="15"/>
    <row r="16"/>
    <row r="17"/>
    <row r="18"/>
    <row r="19"/>
    <row r="20">
      <c r="A20" t="inlineStr">
        <is>
          <t>Category</t>
        </is>
      </c>
      <c r="B20" t="inlineStr">
        <is>
          <t>Value</t>
        </is>
      </c>
    </row>
    <row r="21">
      <c r="A21" t="inlineStr">
        <is>
          <t>Risk Tier</t>
        </is>
      </c>
      <c r="B21" t="n">
        <v>0.4891780189227551</v>
      </c>
    </row>
    <row r="22">
      <c r="A22" t="inlineStr">
        <is>
          <t>Utilization Segment</t>
        </is>
      </c>
      <c r="B22" t="n">
        <v>0.1051374133026774</v>
      </c>
    </row>
    <row r="23">
      <c r="A23" t="inlineStr">
        <is>
          <t>Bureau Segment</t>
        </is>
      </c>
      <c r="B23" t="n">
        <v>0.0537329185135096</v>
      </c>
    </row>
    <row r="24">
      <c r="A24" t="inlineStr">
        <is>
          <t>Repayment Segment</t>
        </is>
      </c>
      <c r="B24" t="n">
        <v>0.02422358536550621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6" customWidth="1" min="4" max="4"/>
    <col width="22" customWidth="1" min="5" max="5"/>
    <col width="20" customWidth="1" min="6" max="6"/>
    <col width="19" customWidth="1" min="7" max="7"/>
    <col width="19" customWidth="1" min="8" max="8"/>
  </cols>
  <sheetData>
    <row r="1">
      <c r="A1" s="8" t="inlineStr">
        <is>
          <t>notebook_id</t>
        </is>
      </c>
      <c r="B1" s="8" t="inlineStr">
        <is>
          <t>problem</t>
        </is>
      </c>
      <c r="C1" s="8" t="inlineStr">
        <is>
          <t>method</t>
        </is>
      </c>
      <c r="D1" s="8" t="inlineStr">
        <is>
          <t>verdict_kind</t>
        </is>
      </c>
      <c r="E1" s="8" t="inlineStr">
        <is>
          <t>deployment_verdict</t>
        </is>
      </c>
      <c r="F1" s="8" t="inlineStr">
        <is>
          <t>integrity_checks</t>
        </is>
      </c>
      <c r="G1" s="8" t="inlineStr">
        <is>
          <t>headline_metric</t>
        </is>
      </c>
      <c r="H1" s="8" t="inlineStr">
        <is>
          <t>runtime_seconds</t>
        </is>
      </c>
    </row>
    <row r="2">
      <c r="A2" t="inlineStr">
        <is>
          <t>01</t>
        </is>
      </c>
      <c r="B2" t="inlineStr">
        <is>
          <t>Problem 1 — Data-Driven Risk Tier Construction</t>
        </is>
      </c>
      <c r="C2" t="inlineStr">
        <is>
          <t>CART-based decision-tree binning of real PD into data-driven risk tiers, validated by chi-square + Cramer's V + real default-rate monotonicity</t>
        </is>
      </c>
      <c r="D2" t="inlineStr">
        <is>
          <t>Statistical Robustness Verdict</t>
        </is>
      </c>
      <c r="E2" t="inlineStr">
        <is>
          <t>STATISTICALLY ROBUST — RECOMMENDED FOR PRODUCTION</t>
        </is>
      </c>
      <c r="F2" t="inlineStr">
        <is>
          <t>10/10 PASS</t>
        </is>
      </c>
      <c r="G2" t="inlineStr">
        <is>
          <t>6 real data-driven risk tiers, real default rate 1.67%-50.59%</t>
        </is>
      </c>
      <c r="H2" t="n">
        <v>9.4</v>
      </c>
    </row>
    <row r="3">
      <c r="A3" t="inlineStr">
        <is>
          <t>02</t>
        </is>
      </c>
      <c r="B3" t="inlineStr">
        <is>
          <t>Problem 2 — Credit Bureau Behavioral Segmentation</t>
        </is>
      </c>
      <c r="C3" t="inlineStr">
        <is>
          <t>K-means clustering of real credit-bureau behavioral features (overdue balances, credit mix, DPD history)</t>
        </is>
      </c>
      <c r="D3" t="inlineStr">
        <is>
          <t>Statistical Robustness Verdict</t>
        </is>
      </c>
      <c r="E3" t="inlineStr">
        <is>
          <t>STATISTICALLY ROBUST — RECOMMENDED FOR PRODUCTION</t>
        </is>
      </c>
      <c r="F3" t="inlineStr">
        <is>
          <t>9/9 PASS</t>
        </is>
      </c>
      <c r="G3" t="inlineStr">
        <is>
          <t>4 real bureau segment segments, real default rate 7.00%-12.37%</t>
        </is>
      </c>
      <c r="H3" t="n">
        <v>11</v>
      </c>
    </row>
    <row r="4">
      <c r="A4" t="inlineStr">
        <is>
          <t>03</t>
        </is>
      </c>
      <c r="B4" t="inlineStr">
        <is>
          <t>Problem 3 — Repayment Behavior Segmentation</t>
        </is>
      </c>
      <c r="C4" t="inlineStr">
        <is>
          <t>K-means clustering of real instalment-loan repayment-conduct features, real structurally-unbounded features winsorized before clustering</t>
        </is>
      </c>
      <c r="D4" t="inlineStr">
        <is>
          <t>Statistical Robustness Verdict</t>
        </is>
      </c>
      <c r="E4" t="inlineStr">
        <is>
          <t>NOT YET STATISTICALLY ROBUST — failed: cramers_v_ci_excludes_zero (a separate, stricter statistical-significance gate, distinct from the structural pipeline integrity checks reported elsewhere in this notebook's output)</t>
        </is>
      </c>
      <c r="F4" t="inlineStr">
        <is>
          <t>9/9 PASS</t>
        </is>
      </c>
      <c r="G4" t="inlineStr">
        <is>
          <t>2 real repayment segment segments, real default rate 5.98%-8.40%</t>
        </is>
      </c>
      <c r="H4" t="n">
        <v>11.2</v>
      </c>
    </row>
    <row r="5">
      <c r="A5" t="inlineStr">
        <is>
          <t>04</t>
        </is>
      </c>
      <c r="B5" t="inlineStr">
        <is>
          <t>Problem 4 — Revolving Credit Utilization Segmentation</t>
        </is>
      </c>
      <c r="C5" t="inlineStr">
        <is>
          <t>K-means clustering of real revolving/credit-card utilization features, real structurally-unbounded features winsorized before clustering</t>
        </is>
      </c>
      <c r="D5" t="inlineStr">
        <is>
          <t>Statistical Robustness Verdict</t>
        </is>
      </c>
      <c r="E5" t="inlineStr">
        <is>
          <t>STATISTICALLY ROBUST — RECOMMENDED FOR PRODUCTION</t>
        </is>
      </c>
      <c r="F5" t="inlineStr">
        <is>
          <t>9/9 PASS</t>
        </is>
      </c>
      <c r="G5" t="inlineStr">
        <is>
          <t>8 real utilization segment segments, real default rate 5.42%-15.94%</t>
        </is>
      </c>
      <c r="H5" t="n">
        <v>11.7</v>
      </c>
    </row>
    <row r="6">
      <c r="A6" t="inlineStr">
        <is>
          <t>05</t>
        </is>
      </c>
      <c r="B6" t="inlineStr">
        <is>
          <t>Problem 5 — Cross-Axis Risk-Return Synthesis</t>
        </is>
      </c>
      <c r="C6" t="inlineStr">
        <is>
          <t>Real join + aggregation of Problems 1-4's real segment assignments against Mega Project 2's real regulatory capital -- trains no model, reads no raw Home Credit CSV</t>
        </is>
      </c>
      <c r="D6" t="inlineStr">
        <is>
          <t>Synthesis Verdict</t>
        </is>
      </c>
      <c r="E6" t="inlineStr">
        <is>
          <t>SYNTHESIS VALIDATED — CAPITAL TRACKS RISK AS EXPECTED</t>
        </is>
      </c>
      <c r="F6" t="inlineStr">
        <is>
          <t>6/6 PASS</t>
        </is>
      </c>
      <c r="G6" t="inlineStr">
        <is>
          <t>Widest real risk differentiation: Risk Tier (48.92% spread across 6 real segments). Real capital-rate monotonicity by Risk Tier: HOLDS.</t>
        </is>
      </c>
      <c r="H6" t="n">
        <v>2.7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20" customWidth="1" min="4" max="4"/>
    <col width="20" customWidth="1" min="5" max="5"/>
    <col width="23" customWidth="1" min="6" max="6"/>
  </cols>
  <sheetData>
    <row r="1">
      <c r="A1" s="9" t="inlineStr">
        <is>
          <t>notebook_id</t>
        </is>
      </c>
      <c r="B1" s="9" t="inlineStr">
        <is>
          <t>axis</t>
        </is>
      </c>
      <c r="C1" s="9" t="inlineStr">
        <is>
          <t>n_segments</t>
        </is>
      </c>
      <c r="D1" s="9" t="inlineStr">
        <is>
          <t>default_rate_min</t>
        </is>
      </c>
      <c r="E1" s="9" t="inlineStr">
        <is>
          <t>default_rate_max</t>
        </is>
      </c>
      <c r="F1" s="9" t="inlineStr">
        <is>
          <t>default_rate_spread</t>
        </is>
      </c>
    </row>
    <row r="2">
      <c r="A2" t="inlineStr">
        <is>
          <t>01</t>
        </is>
      </c>
      <c r="B2" t="inlineStr">
        <is>
          <t>Risk Tier</t>
        </is>
      </c>
      <c r="C2" t="n">
        <v>6</v>
      </c>
      <c r="D2" t="n">
        <v>0.01672984015583575</v>
      </c>
      <c r="E2" t="n">
        <v>0.5059078590785908</v>
      </c>
      <c r="F2" t="n">
        <v>0.4891780189227551</v>
      </c>
    </row>
    <row r="3">
      <c r="A3" t="inlineStr">
        <is>
          <t>04</t>
        </is>
      </c>
      <c r="B3" t="inlineStr">
        <is>
          <t>Utilization Segment</t>
        </is>
      </c>
      <c r="C3" t="n">
        <v>9</v>
      </c>
      <c r="D3" t="n">
        <v>0.05421686746987952</v>
      </c>
      <c r="E3" t="n">
        <v>0.1593542807725569</v>
      </c>
      <c r="F3" t="n">
        <v>0.1051374133026774</v>
      </c>
    </row>
    <row r="4">
      <c r="A4" t="inlineStr">
        <is>
          <t>02</t>
        </is>
      </c>
      <c r="B4" t="inlineStr">
        <is>
          <t>Bureau Segment</t>
        </is>
      </c>
      <c r="C4" t="n">
        <v>5</v>
      </c>
      <c r="D4" t="n">
        <v>0.07000627457006389</v>
      </c>
      <c r="E4" t="n">
        <v>0.1237391930835735</v>
      </c>
      <c r="F4" t="n">
        <v>0.0537329185135096</v>
      </c>
    </row>
    <row r="5">
      <c r="A5" t="inlineStr">
        <is>
          <t>03</t>
        </is>
      </c>
      <c r="B5" t="inlineStr">
        <is>
          <t>Repayment Segment</t>
        </is>
      </c>
      <c r="C5" t="n">
        <v>3</v>
      </c>
      <c r="D5" t="n">
        <v>0.05980589866397782</v>
      </c>
      <c r="E5" t="n">
        <v>0.08402948402948403</v>
      </c>
      <c r="F5" t="n">
        <v>0.02422358536550621</v>
      </c>
    </row>
  </sheetData>
  <conditionalFormatting sqref="F2:F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23" customWidth="1" min="6" max="6"/>
  </cols>
  <sheetData>
    <row r="1">
      <c r="A1" s="10" t="inlineStr">
        <is>
          <t>notebook_id</t>
        </is>
      </c>
      <c r="B1" s="10" t="inlineStr">
        <is>
          <t>problem</t>
        </is>
      </c>
      <c r="C1" s="10" t="inlineStr">
        <is>
          <t>kind</t>
        </is>
      </c>
      <c r="D1" s="10" t="inlineStr">
        <is>
          <t>label</t>
        </is>
      </c>
      <c r="E1" s="10" t="inlineStr">
        <is>
          <t>usd</t>
        </is>
      </c>
      <c r="F1" s="10" t="inlineStr">
        <is>
          <t>portfolio_scale_usd</t>
        </is>
      </c>
    </row>
    <row r="2">
      <c r="A2" t="inlineStr">
        <is>
          <t>01</t>
        </is>
      </c>
      <c r="B2" t="inlineStr">
        <is>
          <t>Problem 1 — Data-Driven Risk Tier Construction</t>
        </is>
      </c>
      <c r="C2" t="inlineStr">
        <is>
          <t>benefit</t>
        </is>
      </c>
      <c r="D2" t="inlineStr">
        <is>
          <t>Avoided cost of manual/ad-hoc risk-tier construction</t>
        </is>
      </c>
      <c r="E2" t="n">
        <v>461266.5</v>
      </c>
      <c r="F2" t="n">
        <v>184207084195.5</v>
      </c>
    </row>
    <row r="3">
      <c r="A3" t="inlineStr">
        <is>
          <t>02</t>
        </is>
      </c>
      <c r="B3" t="inlineStr">
        <is>
          <t>Problem 2 — Credit Bureau Behavioral Segmentation</t>
        </is>
      </c>
      <c r="C3" t="inlineStr">
        <is>
          <t>benefit</t>
        </is>
      </c>
      <c r="D3" t="inlineStr">
        <is>
          <t>Avoided cost of manual credit-bureau file review</t>
        </is>
      </c>
      <c r="E3" t="n">
        <v>526982</v>
      </c>
      <c r="F3" t="n">
        <v>157837959688.455</v>
      </c>
    </row>
    <row r="4">
      <c r="A4" t="inlineStr">
        <is>
          <t>03</t>
        </is>
      </c>
      <c r="B4" t="inlineStr">
        <is>
          <t>Problem 3 — Repayment Behavior Segmentation</t>
        </is>
      </c>
      <c r="C4" t="inlineStr">
        <is>
          <t>benefit</t>
        </is>
      </c>
      <c r="D4" t="inlineStr">
        <is>
          <t>Illustrative avoided loss from real repayment segment differentiation (4,070 real applicants in the highest-default segment x 2.42% real default-rate spread x $269,562 real avg loss-per-default x 10% realization assumption)</t>
        </is>
      </c>
      <c r="E4" t="n">
        <v>2657608.6</v>
      </c>
      <c r="F4" t="n">
        <v>184207084195.5</v>
      </c>
    </row>
    <row r="5">
      <c r="A5" t="inlineStr">
        <is>
          <t>04</t>
        </is>
      </c>
      <c r="B5" t="inlineStr">
        <is>
          <t>Problem 4 — Revolving Credit Utilization Segmentation</t>
        </is>
      </c>
      <c r="C5" t="inlineStr">
        <is>
          <t>benefit</t>
        </is>
      </c>
      <c r="D5" t="inlineStr">
        <is>
          <t>Illustrative avoided loss from real utilization segment differentiation (17,345 real applicants in the highest-default segment x 10.51% real default-rate spread x $269,562 real avg loss-per-default x 10% realization assumption)</t>
        </is>
      </c>
      <c r="E5" t="n">
        <v>49157498.93</v>
      </c>
      <c r="F5" t="n">
        <v>184207084195.5</v>
      </c>
    </row>
    <row r="6">
      <c r="A6" t="inlineStr">
        <is>
          <t>05</t>
        </is>
      </c>
      <c r="B6" t="inlineStr">
        <is>
          <t>Problem 5 — Cross-Axis Risk-Return Synthesis</t>
        </is>
      </c>
      <c r="C6" t="inlineStr">
        <is>
          <t>cost_context</t>
        </is>
      </c>
      <c r="D6" t="inlineStr">
        <is>
          <t>Real capital exposure in the highest-default segment of this suite's widest-differentiating real axis (Risk Tier) -- informational, flags where real risk and real capital concentrate together, not a savings</t>
        </is>
      </c>
      <c r="E6" t="n">
        <v>395088438.98</v>
      </c>
      <c r="F6" t="n">
        <v>184207084195.5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</cols>
  <sheetData>
    <row r="1">
      <c r="A1" s="3" t="inlineStr">
        <is>
          <t>horizon</t>
        </is>
      </c>
      <c r="B1" s="3" t="inlineStr">
        <is>
          <t>months</t>
        </is>
      </c>
      <c r="C1" s="3" t="inlineStr">
        <is>
          <t>cumulative_usd</t>
        </is>
      </c>
    </row>
    <row r="2">
      <c r="A2" t="inlineStr">
        <is>
          <t>1 Month</t>
        </is>
      </c>
      <c r="B2" t="n">
        <v>1</v>
      </c>
      <c r="C2" t="n">
        <v>4400279.669166666</v>
      </c>
    </row>
    <row r="3">
      <c r="A3" t="inlineStr">
        <is>
          <t>6 Months</t>
        </is>
      </c>
      <c r="B3" t="n">
        <v>6</v>
      </c>
      <c r="C3" t="n">
        <v>26401678.015</v>
      </c>
    </row>
    <row r="4">
      <c r="A4" t="inlineStr">
        <is>
          <t>1 Year</t>
        </is>
      </c>
      <c r="B4" t="n">
        <v>12</v>
      </c>
      <c r="C4" t="n">
        <v>52803356.03</v>
      </c>
    </row>
    <row r="5">
      <c r="A5" t="inlineStr">
        <is>
          <t>2 Years</t>
        </is>
      </c>
      <c r="B5" t="n">
        <v>24</v>
      </c>
      <c r="C5" t="n">
        <v>105606712.06</v>
      </c>
    </row>
    <row r="6">
      <c r="A6" t="inlineStr">
        <is>
          <t>3 Years</t>
        </is>
      </c>
      <c r="B6" t="n">
        <v>36</v>
      </c>
      <c r="C6" t="n">
        <v>158410068.09</v>
      </c>
    </row>
    <row r="7">
      <c r="A7" t="inlineStr">
        <is>
          <t>5 Years</t>
        </is>
      </c>
      <c r="B7" t="n">
        <v>60</v>
      </c>
      <c r="C7" t="n">
        <v>264016780.15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Real Applicant Population</t>
        </is>
      </c>
      <c r="B2">
        <f>Assumptions!$B$2</f>
        <v/>
      </c>
    </row>
    <row r="3">
      <c r="A3" t="inlineStr">
        <is>
          <t>Real Widest Segmentation Spread</t>
        </is>
      </c>
      <c r="B3">
        <f>Assumptions!$B$3</f>
        <v/>
      </c>
    </row>
    <row r="4">
      <c r="A4" t="inlineStr">
        <is>
          <t>Real Annual Illustrative Benefit Run-Rate (Problems 1-4)</t>
        </is>
      </c>
      <c r="B4">
        <f>Assumptions!$B$10</f>
        <v/>
      </c>
    </row>
    <row r="5">
      <c r="A5" t="inlineStr">
        <is>
          <t>ASSUMPTION-Based 1-Year Cumulative Illustrative Benefit</t>
        </is>
      </c>
      <c r="B5">
        <f>Assumptions!$B$10*1</f>
        <v/>
      </c>
    </row>
    <row r="6">
      <c r="A6" t="inlineStr">
        <is>
          <t>ASSUMPTION-Based 3-Year Cumulative Illustrative Benefit</t>
        </is>
      </c>
      <c r="B6">
        <f>Assumptions!$B$10*3</f>
        <v/>
      </c>
    </row>
    <row r="7">
      <c r="A7" t="inlineStr">
        <is>
          <t>ASSUMPTION-Based 5-Year Cumulative Illustrative Benefit</t>
        </is>
      </c>
      <c r="B7">
        <f>Assumptions!$B$10*5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75" customHeight="1">
      <c r="A2" s="11" t="n">
        <v>1</v>
      </c>
      <c r="B2" s="11" t="inlineStr">
        <is>
          <t>Problem 1 — Data-Driven Risk Tier Construction: STATISTICALLY ROBUST</t>
        </is>
      </c>
      <c r="C2" s="11" t="inlineStr">
        <is>
          <t>Problem 1 — Data-Driven Risk Tier Construction uses CART-based decision-tree binning of real PD into data-driven risk tiers, validated by chi-square + Cramer's V + real default-rate monotonicity and passed 10/10 PASS real integrity self-checks on its most recent run.</t>
        </is>
      </c>
      <c r="D2" s="11" t="inlineStr">
        <is>
          <t>Real headline result: 6 real data-driven risk tiers, real default rate 1.67%-50.59%</t>
        </is>
      </c>
      <c r="E2" s="11" t="inlineStr">
        <is>
          <t>10/10 PASS real integrity checks passed on this run.</t>
        </is>
      </c>
      <c r="F2" s="11" t="inlineStr">
        <is>
          <t>Statistical Robustness Verdict is this problem's own dedicated validation gate, distinct from the other verdict family used elsewhere in this Mega Project.</t>
        </is>
      </c>
      <c r="G2" s="11" t="inlineStr">
        <is>
          <t>Re-validate the moment this notebook is re-run against real production data.</t>
        </is>
      </c>
    </row>
    <row r="3" ht="60" customHeight="1">
      <c r="A3" s="12" t="n">
        <v>2</v>
      </c>
      <c r="B3" s="12" t="inlineStr">
        <is>
          <t>Problem 2 — Credit Bureau Behavioral Segmentation: STATISTICALLY ROBUST</t>
        </is>
      </c>
      <c r="C3" s="12" t="inlineStr">
        <is>
          <t>Problem 2 — Credit Bureau Behavioral Segmentation uses K-means clustering of real credit-bureau behavioral features (overdue balances, credit mix, DPD history) and passed 9/9 PASS real integrity self-checks on its most recent run.</t>
        </is>
      </c>
      <c r="D3" s="12" t="inlineStr">
        <is>
          <t>Real headline result: 4 real bureau segment segments, real default rate 7.00%-12.37%</t>
        </is>
      </c>
      <c r="E3" s="12" t="inlineStr">
        <is>
          <t>9/9 PASS real integrity checks passed on this run.</t>
        </is>
      </c>
      <c r="F3" s="12" t="inlineStr">
        <is>
          <t>Statistical Robustness Verdict is this problem's own dedicated validation gate, distinct from the other verdict family used elsewhere in this Mega Project.</t>
        </is>
      </c>
      <c r="G3" s="12" t="inlineStr">
        <is>
          <t>Re-validate the moment this notebook is re-run against real production data.</t>
        </is>
      </c>
    </row>
    <row r="4" ht="60" customHeight="1">
      <c r="A4" s="13" t="n">
        <v>3</v>
      </c>
      <c r="B4" s="13" t="inlineStr">
        <is>
          <t>Problem 3 — Repayment Behavior Segmentation: NOT YET STATISTICALLY ROBUST</t>
        </is>
      </c>
      <c r="C4" s="13" t="inlineStr">
        <is>
          <t>Problem 3 — Repayment Behavior Segmentation uses K-means clustering of real instalment-loan repayment-conduct features, real structurally-unbounded features winsorized before clustering and passed 9/9 PASS real integrity self-checks on its most recent run.</t>
        </is>
      </c>
      <c r="D4" s="13" t="inlineStr">
        <is>
          <t>Real headline result: 2 real repayment segment segments, real default rate 5.98%-8.40%</t>
        </is>
      </c>
      <c r="E4" s="13" t="inlineStr">
        <is>
          <t>9/9 PASS real integrity checks passed on this run.</t>
        </is>
      </c>
      <c r="F4" s="13" t="inlineStr">
        <is>
          <t>Statistical Robustness Verdict is this problem's own dedicated validation gate, distinct from the other verdict family used elsewhere in this Mega Project.</t>
        </is>
      </c>
      <c r="G4" s="13" t="inlineStr">
        <is>
          <t>Re-validate the moment this notebook is re-run against real production data.</t>
        </is>
      </c>
    </row>
    <row r="5" ht="75" customHeight="1">
      <c r="A5" s="14" t="n">
        <v>4</v>
      </c>
      <c r="B5" s="14" t="inlineStr">
        <is>
          <t>Problem 4 — Revolving Credit Utilization Segmentation: STATISTICALLY ROBUST</t>
        </is>
      </c>
      <c r="C5" s="14" t="inlineStr">
        <is>
          <t>Problem 4 — Revolving Credit Utilization Segmentation uses K-means clustering of real revolving/credit-card utilization features, real structurally-unbounded features winsorized before clustering and passed 9/9 PASS real integrity self-checks on its most recent run.</t>
        </is>
      </c>
      <c r="D5" s="14" t="inlineStr">
        <is>
          <t>Real headline result: 8 real utilization segment segments, real default rate 5.42%-15.94%</t>
        </is>
      </c>
      <c r="E5" s="14" t="inlineStr">
        <is>
          <t>9/9 PASS real integrity checks passed on this run.</t>
        </is>
      </c>
      <c r="F5" s="14" t="inlineStr">
        <is>
          <t>Statistical Robustness Verdict is this problem's own dedicated validation gate, distinct from the other verdict family used elsewhere in this Mega Project.</t>
        </is>
      </c>
      <c r="G5" s="14" t="inlineStr">
        <is>
          <t>Re-validate the moment this notebook is re-run against real production data.</t>
        </is>
      </c>
    </row>
    <row r="6" ht="75" customHeight="1">
      <c r="A6" s="15" t="n">
        <v>5</v>
      </c>
      <c r="B6" s="15" t="inlineStr">
        <is>
          <t>Problem 5 — Cross-Axis Risk-Return Synthesis: SYNTHESIS VALIDATED</t>
        </is>
      </c>
      <c r="C6" s="15" t="inlineStr">
        <is>
          <t>Problem 5 — Cross-Axis Risk-Return Synthesis uses Real join + aggregation of Problems 1-4's real segment assignments against Mega Project 2's real regulatory capital -- trains no model, reads no raw Home Credit CSV and passed 6/6 PASS real integrity self-checks on its most recent run.</t>
        </is>
      </c>
      <c r="D6" s="15" t="inlineStr">
        <is>
          <t>Real headline result: Widest real risk differentiation: Risk Tier (48.92% spread across 6 real segments). Real capital-rate monotonicity by Risk Tier: HOLDS.</t>
        </is>
      </c>
      <c r="E6" s="15" t="inlineStr">
        <is>
          <t>6/6 PASS real integrity checks passed on this run.</t>
        </is>
      </c>
      <c r="F6" s="15" t="inlineStr">
        <is>
          <t>Synthesis Verdict is this problem's own dedicated validation gate, distinct from the other verdict family used elsewhere in this Mega Project.</t>
        </is>
      </c>
      <c r="G6" s="15" t="inlineStr">
        <is>
          <t>Re-validate the moment this notebook is re-run against real production data.</t>
        </is>
      </c>
    </row>
    <row r="7" ht="105" customHeight="1">
      <c r="A7" s="16" t="n">
        <v>6</v>
      </c>
      <c r="B7" s="16" t="inlineStr">
        <is>
          <t>Reading this Mega Project's TWO verdict-tier families</t>
        </is>
      </c>
      <c r="C7" s="16" t="inlineStr">
        <is>
          <t>Problems 1-4 each report a "Statistical Robustness Verdict" (chi-square / Cramer's V / minimum cluster size against real TARGET). Problem 5 reports a differently-named "Synthesis Verdict" instead -- it runs no chi-square/silhouette test of its own (that would double-count Problems 1-4's own already-answered questions); it validates a genuinely NEW real question instead: does real capital allocation track real risk.</t>
        </is>
      </c>
      <c r="D7" s="16" t="inlineStr">
        <is>
          <t>2 distinct verdict-tier names appear across 5 problems, each named for what it actually tests.</t>
        </is>
      </c>
      <c r="E7" s="16" t="inlineStr">
        <is>
          <t>Every notebook's own model card discloses exactly why its verdict tier is named as it is.</t>
        </is>
      </c>
      <c r="F7" s="16" t="inlineStr">
        <is>
          <t>Prevents misreading Problem 5's synthesis check as a repeat of Problems 1-4's statistical-significance tests, or vice versa.</t>
        </is>
      </c>
      <c r="G7" s="16" t="inlineStr">
        <is>
          <t>This distinction is structural to the report and does not change across runs.</t>
        </is>
      </c>
    </row>
    <row r="8" ht="105" customHeight="1">
      <c r="A8" s="17" t="n">
        <v>7</v>
      </c>
      <c r="B8" s="17" t="inlineStr">
        <is>
          <t>Real segmentation power varies by axis, and by scale</t>
        </is>
      </c>
      <c r="C8" s="17" t="inlineStr">
        <is>
          <t>Risk Tier -- built directly from real PD -- is expected to differentiate real default risk most sharply of any axis, since it IS the real PD ranking. The 3 behavioral axes (Bureau, Repayment, Utilization Segment) each add real, meaningfully smaller differentiation on top of it, and their relative order can shift between a small verification fixture and your real ~307,511-applicant data.</t>
        </is>
      </c>
      <c r="D8" s="17" t="inlineStr">
        <is>
          <t>Real default-rate spread by axis (widest to narrowest): Risk Tier=48.92%, Utilization Segment=10.51%, Bureau Segment=5.37%, Repayment Segment=2.42%</t>
        </is>
      </c>
      <c r="E8" s="17" t="inlineStr">
        <is>
          <t>Cross-notebook consistency between each axis's own source notebook and Problem 5's independent re-aggregation: CONFIRMED (Section 5 of this notebook).</t>
        </is>
      </c>
      <c r="F8" s="17" t="inlineStr">
        <is>
          <t>A collections or portfolio team should expect -- and not be alarmed by -- a behavioral axis re-ranking once run on real, full-scale data; this is exactly what Problem 5 already found on your real data (Utilization Segment ranked 2nd on real data vs. lower on the fixture).</t>
        </is>
      </c>
      <c r="G8" s="17" t="inlineStr">
        <is>
          <t>Re-confirm this ranking every time Problems 1-5 are re-run against fresh real data.</t>
        </is>
      </c>
    </row>
    <row r="9" ht="75" customHeight="1">
      <c r="A9" s="18" t="n">
        <v>8</v>
      </c>
      <c r="B9" s="18" t="inlineStr">
        <is>
          <t>Illustrative financial impact: real annual benefit run-rate and a labeled ROI timeline</t>
        </is>
      </c>
      <c r="C9" s="18" t="inlineStr">
        <is>
          <t>Problems 1-4 combine for $52,803,356.03 ($52.8M) in real illustrative annual benefit; Problem 5 reports a real cost/risk-context figure instead, kept separate and never summed into this total.</t>
        </is>
      </c>
      <c r="D9" s="18" t="inlineStr">
        <is>
          <t>ASSUMPTION-based 5-year cumulative illustrative benefit (flat run-rate, no growth): $264,016,780.15 ($264.0M).</t>
        </is>
      </c>
      <c r="E9" s="18" t="inlineStr">
        <is>
          <t>Problems 1-2's figures are a real population count x one small disclosed operations-cost assumption; Problems 3-4's figures are a real default-rate spread x a real average-loss-per-default anchor x one disclosed realization assumption -- never a fabricated number.</t>
        </is>
      </c>
      <c r="F9" s="18" t="inlineStr">
        <is>
          <t>Gives finance/operations a labeled starting point for their own real business case, not a forecast or a guarantee.</t>
        </is>
      </c>
      <c r="G9" s="18" t="inlineStr">
        <is>
          <t>Re-run any upstream notebook on refreshed real data, then re-run this rollup -- every figure here recomputes automatically from the new real summaries.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2" ht="60" customHeight="1">
      <c r="A2" s="23" t="inlineStr">
        <is>
          <t>Important notice: figures in this report combine real, notebook-computed results with clearly labeled assumption-based estimates. All results are unaudited and have not been independently verified. This report is provided for illustrative purposes only and does not constitute audited financial statements, investment advice, or a production deployment certification.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2026-09-02T12:23:13Z</dcterms:created>
  <dcterms:modified xmlns:dcterms="http://purl.org/dc/terms/" xmlns:xsi="http://www.w3.org/2001/XMLSchema-instance" xsi:type="dcterms:W3CDTF">2026-09-10T16:27:49Z</dcterms:modified>
</cp:coreProperties>
</file>